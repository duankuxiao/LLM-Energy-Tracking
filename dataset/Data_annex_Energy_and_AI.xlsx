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footprint\Code\dataset\"/>
    </mc:Choice>
  </mc:AlternateContent>
  <xr:revisionPtr revIDLastSave="0" documentId="13_ncr:1_{7A2B00D1-4A65-43B6-A168-394F0CC764F3}" xr6:coauthVersionLast="47" xr6:coauthVersionMax="47" xr10:uidLastSave="{00000000-0000-0000-0000-000000000000}"/>
  <bookViews>
    <workbookView xWindow="-120" yWindow="-120" windowWidth="32640" windowHeight="21120" activeTab="1" xr2:uid="{D7B4F2E1-D24B-4A1B-B9F3-C15A28CCB8C7}"/>
  </bookViews>
  <sheets>
    <sheet name="World Data" sheetId="1" r:id="rId1"/>
    <sheet name="Regional Data" sheetId="8" r:id="rId2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8" l="1"/>
  <c r="J43" i="8"/>
  <c r="J44" i="8"/>
  <c r="J45" i="8"/>
  <c r="J46" i="8"/>
  <c r="J47" i="8"/>
  <c r="J48" i="8"/>
  <c r="J49" i="8"/>
  <c r="J41" i="8"/>
  <c r="J32" i="8"/>
  <c r="J33" i="8"/>
  <c r="J34" i="8"/>
  <c r="J35" i="8"/>
  <c r="J36" i="8"/>
  <c r="J37" i="8"/>
  <c r="J38" i="8"/>
  <c r="J39" i="8"/>
  <c r="J31" i="8"/>
</calcChain>
</file>

<file path=xl/sharedStrings.xml><?xml version="1.0" encoding="utf-8"?>
<sst xmlns="http://schemas.openxmlformats.org/spreadsheetml/2006/main" count="103" uniqueCount="33">
  <si>
    <t>World</t>
  </si>
  <si>
    <t>Total</t>
  </si>
  <si>
    <t>Power usage effectiveness</t>
  </si>
  <si>
    <t>North America</t>
  </si>
  <si>
    <t>United States</t>
  </si>
  <si>
    <t>Central and South America</t>
  </si>
  <si>
    <t>Europe</t>
  </si>
  <si>
    <t>Africa</t>
  </si>
  <si>
    <t>Middle East</t>
  </si>
  <si>
    <t>Asia Pacific</t>
  </si>
  <si>
    <t>China</t>
  </si>
  <si>
    <t>Base Case</t>
  </si>
  <si>
    <t>Hyperscale</t>
  </si>
  <si>
    <t>Enterprise</t>
  </si>
  <si>
    <t>Colocation and service provider</t>
  </si>
  <si>
    <t>2035*</t>
  </si>
  <si>
    <t>IT</t>
  </si>
  <si>
    <t>*2035 numbers serve as exploratory scenarios given the high level of uncertainty around data centre demand growth.</t>
  </si>
  <si>
    <t>Installed capacity (GW)</t>
  </si>
  <si>
    <t>Load factor (%)</t>
  </si>
  <si>
    <t>Electricity consumption (TWh)</t>
  </si>
  <si>
    <t>Power usage effectiveness and load factor (%)</t>
  </si>
  <si>
    <t>Base</t>
  </si>
  <si>
    <t>Lift-Off</t>
  </si>
  <si>
    <t>High Efficiency</t>
  </si>
  <si>
    <t>Headwinds</t>
  </si>
  <si>
    <r>
      <t xml:space="preserve">Installed capacity </t>
    </r>
    <r>
      <rPr>
        <sz val="9"/>
        <color rgb="FF2C95AB"/>
        <rFont val="Aptos Narrow"/>
        <family val="2"/>
      </rPr>
      <t>(GW)</t>
    </r>
  </si>
  <si>
    <r>
      <t xml:space="preserve">Electricity consumption </t>
    </r>
    <r>
      <rPr>
        <sz val="9"/>
        <color rgb="FF2C95AB"/>
        <rFont val="Aptos Narrow"/>
        <family val="2"/>
      </rPr>
      <t>(TWh)</t>
    </r>
  </si>
  <si>
    <r>
      <t xml:space="preserve">Total electricity consumption </t>
    </r>
    <r>
      <rPr>
        <sz val="9"/>
        <color rgb="FF2C95AB"/>
        <rFont val="Aptos Narrow"/>
        <family val="2"/>
      </rPr>
      <t>(TWh)</t>
    </r>
  </si>
  <si>
    <r>
      <t xml:space="preserve">IT electricity consumption </t>
    </r>
    <r>
      <rPr>
        <sz val="9"/>
        <color rgb="FF2C95AB"/>
        <rFont val="Aptos Narrow"/>
        <family val="2"/>
      </rPr>
      <t>(TWh)</t>
    </r>
  </si>
  <si>
    <r>
      <t xml:space="preserve">Load factor </t>
    </r>
    <r>
      <rPr>
        <sz val="9"/>
        <color rgb="FF2C95AB"/>
        <rFont val="Aptos Narrow"/>
        <family val="2"/>
      </rPr>
      <t>(%)</t>
    </r>
  </si>
  <si>
    <r>
      <t xml:space="preserve">Total installed capacity </t>
    </r>
    <r>
      <rPr>
        <sz val="9"/>
        <color rgb="FF2C95AB"/>
        <rFont val="Aptos Narrow"/>
        <family val="2"/>
      </rPr>
      <t>(GW)</t>
    </r>
  </si>
  <si>
    <r>
      <t xml:space="preserve">IT installed capacity </t>
    </r>
    <r>
      <rPr>
        <sz val="9"/>
        <color rgb="FF2C95AB"/>
        <rFont val="Aptos Narrow"/>
        <family val="2"/>
      </rPr>
      <t>(GW)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</si>
</sst>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\ ##0\ \ \ \ ;\-#\ ##0\ \ \ \ ;\-\ \ \ \ "/>
    <numFmt numFmtId="177" formatCode="#\ ##0\ \ ;\-#\ ##0\ \ ;\-\ \ "/>
    <numFmt numFmtId="178" formatCode="0\ ;\-0\ ;\-\ "/>
    <numFmt numFmtId="179" formatCode="#\ ##0.0\ \ \ \ ;\-#\ ##0.0\ \ \ \ ;\-\ \ \ \ "/>
    <numFmt numFmtId="180" formatCode="##.00\ \ \ \ ;\-##.00\ \ \ \ ;\-\ \ \ \ "/>
    <numFmt numFmtId="181" formatCode="#\ ##0\ ;\-#\ ##0\ ;\-\ "/>
    <numFmt numFmtId="182" formatCode="##0\ \ \ ;\-##0\ \ \ "/>
    <numFmt numFmtId="183" formatCode="##\ ##0\ \ \ ;\-##\ ##0\ \ \ \ ;\-\ \ \ \ "/>
    <numFmt numFmtId="184" formatCode="#\ ##0\ \ \ ;\-#\ ##0\ \ \ ;\-\ \ \ "/>
    <numFmt numFmtId="185" formatCode="##.00\ \ \ ;\-##.00\ \ \ ;\-\ \ \ "/>
    <numFmt numFmtId="186" formatCode="##.00\ \ ;\-##.00\ \ ;\-\ \ "/>
    <numFmt numFmtId="187" formatCode="0\ "/>
    <numFmt numFmtId="188" formatCode="#.0\ ##0\ \ \ \ ;\-#.0\ ##0\ \ \ \ ;\-\ \ \ \ "/>
    <numFmt numFmtId="193" formatCode="0.0_);[Red]\(0.0\)"/>
    <numFmt numFmtId="194" formatCode="0.00_);[Red]\(0.00\)"/>
  </numFmts>
  <fonts count="1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9"/>
      <color theme="0"/>
      <name val="Aptos Narrow"/>
      <family val="2"/>
    </font>
    <font>
      <sz val="9"/>
      <name val="Aptos Narrow"/>
      <family val="2"/>
    </font>
    <font>
      <b/>
      <sz val="9"/>
      <color rgb="FF2C95AB"/>
      <name val="Aptos Narrow"/>
      <family val="2"/>
    </font>
    <font>
      <sz val="9"/>
      <color theme="0" tint="-0.499984740745262"/>
      <name val="Aptos Narrow"/>
      <family val="2"/>
    </font>
    <font>
      <sz val="9"/>
      <color theme="1"/>
      <name val="Aptos Narrow"/>
      <family val="2"/>
    </font>
    <font>
      <sz val="9"/>
      <color rgb="FF2C95AB"/>
      <name val="Aptos Narrow"/>
      <family val="2"/>
    </font>
    <font>
      <sz val="9"/>
      <color theme="0"/>
      <name val="Aptos Narrow"/>
      <family val="2"/>
    </font>
    <font>
      <b/>
      <sz val="9"/>
      <color theme="1"/>
      <name val="Aptos Narrow"/>
      <family val="2"/>
    </font>
    <font>
      <b/>
      <sz val="9"/>
      <name val="Aptos Narrow"/>
      <family val="2"/>
    </font>
    <font>
      <sz val="11"/>
      <color rgb="FFC00000"/>
      <name val="宋体"/>
      <family val="2"/>
      <scheme val="minor"/>
    </font>
    <font>
      <b/>
      <sz val="9"/>
      <color rgb="FFC00000"/>
      <name val="Aptos Narrow"/>
      <family val="2"/>
    </font>
    <font>
      <sz val="9"/>
      <color rgb="FFC00000"/>
      <name val="Aptos Narrow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95A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0691854609822"/>
      </right>
      <top/>
      <bottom style="medium">
        <color rgb="FF2C95AB"/>
      </bottom>
      <diagonal/>
    </border>
    <border>
      <left/>
      <right/>
      <top style="thin">
        <color rgb="FF2C95AB"/>
      </top>
      <bottom/>
      <diagonal/>
    </border>
    <border>
      <left/>
      <right style="thin">
        <color theme="0" tint="-0.14990691854609822"/>
      </right>
      <top style="thin">
        <color rgb="FF2C95AB"/>
      </top>
      <bottom/>
      <diagonal/>
    </border>
    <border>
      <left/>
      <right/>
      <top style="thin">
        <color rgb="FFEAF0F4"/>
      </top>
      <bottom/>
      <diagonal/>
    </border>
    <border>
      <left/>
      <right style="thin">
        <color theme="0" tint="-0.14990691854609822"/>
      </right>
      <top style="thin">
        <color rgb="FFEAF0F4"/>
      </top>
      <bottom/>
      <diagonal/>
    </border>
    <border>
      <left/>
      <right/>
      <top/>
      <bottom style="medium">
        <color theme="8" tint="-0.249977111117893"/>
      </bottom>
      <diagonal/>
    </border>
    <border>
      <left/>
      <right/>
      <top/>
      <bottom style="thin">
        <color theme="0"/>
      </bottom>
      <diagonal/>
    </border>
    <border>
      <left/>
      <right/>
      <top style="medium">
        <color rgb="FF2C95AB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1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Continuous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77" fontId="5" fillId="4" borderId="0" xfId="0" applyNumberFormat="1" applyFont="1" applyFill="1" applyAlignment="1">
      <alignment horizontal="right" vertical="center"/>
    </xf>
    <xf numFmtId="178" fontId="5" fillId="4" borderId="2" xfId="1" applyNumberFormat="1" applyFont="1" applyFill="1" applyBorder="1" applyAlignment="1" applyProtection="1">
      <alignment horizontal="right" vertical="center"/>
    </xf>
    <xf numFmtId="0" fontId="6" fillId="3" borderId="0" xfId="0" applyFont="1" applyFill="1" applyAlignment="1">
      <alignment horizontal="left" vertical="center" wrapText="1" indent="1"/>
    </xf>
    <xf numFmtId="179" fontId="4" fillId="3" borderId="0" xfId="0" applyNumberFormat="1" applyFont="1" applyFill="1" applyAlignment="1">
      <alignment horizontal="right" vertical="center"/>
    </xf>
    <xf numFmtId="1" fontId="7" fillId="5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81" fontId="4" fillId="3" borderId="3" xfId="0" applyNumberFormat="1" applyFont="1" applyFill="1" applyBorder="1" applyAlignment="1">
      <alignment horizontal="right" vertical="center"/>
    </xf>
    <xf numFmtId="181" fontId="6" fillId="3" borderId="3" xfId="0" applyNumberFormat="1" applyFont="1" applyFill="1" applyBorder="1" applyAlignment="1">
      <alignment horizontal="right" vertical="center"/>
    </xf>
    <xf numFmtId="181" fontId="8" fillId="3" borderId="4" xfId="0" applyNumberFormat="1" applyFont="1" applyFill="1" applyBorder="1" applyAlignment="1">
      <alignment horizontal="right" vertical="center"/>
    </xf>
    <xf numFmtId="181" fontId="8" fillId="3" borderId="3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 applyProtection="1">
      <alignment vertical="center"/>
      <protection locked="0"/>
    </xf>
    <xf numFmtId="178" fontId="4" fillId="3" borderId="2" xfId="1" applyNumberFormat="1" applyFont="1" applyFill="1" applyBorder="1" applyAlignment="1" applyProtection="1">
      <alignment horizontal="right" vertical="center"/>
    </xf>
    <xf numFmtId="0" fontId="3" fillId="2" borderId="0" xfId="0" applyFont="1" applyFill="1" applyAlignment="1">
      <alignment horizontal="centerContinuous" vertical="center"/>
    </xf>
    <xf numFmtId="1" fontId="3" fillId="2" borderId="0" xfId="0" applyNumberFormat="1" applyFont="1" applyFill="1" applyAlignment="1">
      <alignment horizontal="centerContinuous" vertical="center"/>
    </xf>
    <xf numFmtId="182" fontId="4" fillId="3" borderId="0" xfId="0" applyNumberFormat="1" applyFont="1" applyFill="1" applyAlignment="1">
      <alignment vertical="center"/>
    </xf>
    <xf numFmtId="1" fontId="10" fillId="5" borderId="0" xfId="0" applyNumberFormat="1" applyFont="1" applyFill="1" applyAlignment="1">
      <alignment horizontal="centerContinuous" vertical="center"/>
    </xf>
    <xf numFmtId="1" fontId="9" fillId="5" borderId="0" xfId="0" applyNumberFormat="1" applyFont="1" applyFill="1" applyAlignment="1">
      <alignment horizontal="centerContinuous" vertical="center"/>
    </xf>
    <xf numFmtId="1" fontId="3" fillId="2" borderId="0" xfId="0" applyNumberFormat="1" applyFont="1" applyFill="1" applyAlignment="1">
      <alignment horizontal="centerContinuous" vertical="center" wrapText="1"/>
    </xf>
    <xf numFmtId="176" fontId="6" fillId="3" borderId="5" xfId="0" applyNumberFormat="1" applyFont="1" applyFill="1" applyBorder="1" applyAlignment="1">
      <alignment horizontal="left" vertical="top" indent="1"/>
    </xf>
    <xf numFmtId="178" fontId="4" fillId="3" borderId="6" xfId="1" applyNumberFormat="1" applyFont="1" applyFill="1" applyBorder="1" applyAlignment="1" applyProtection="1">
      <alignment horizontal="right" vertical="center"/>
    </xf>
    <xf numFmtId="183" fontId="4" fillId="3" borderId="2" xfId="1" applyNumberFormat="1" applyFont="1" applyFill="1" applyBorder="1" applyAlignment="1" applyProtection="1">
      <alignment horizontal="right" vertical="center"/>
    </xf>
    <xf numFmtId="179" fontId="4" fillId="3" borderId="2" xfId="1" applyNumberFormat="1" applyFont="1" applyFill="1" applyBorder="1" applyAlignment="1" applyProtection="1">
      <alignment horizontal="right" vertical="center"/>
    </xf>
    <xf numFmtId="0" fontId="5" fillId="4" borderId="7" xfId="0" applyFont="1" applyFill="1" applyBorder="1" applyAlignment="1">
      <alignment horizontal="left" vertical="center"/>
    </xf>
    <xf numFmtId="177" fontId="5" fillId="4" borderId="7" xfId="0" applyNumberFormat="1" applyFont="1" applyFill="1" applyBorder="1" applyAlignment="1">
      <alignment horizontal="right" vertical="center"/>
    </xf>
    <xf numFmtId="178" fontId="5" fillId="4" borderId="8" xfId="1" applyNumberFormat="1" applyFont="1" applyFill="1" applyBorder="1" applyAlignment="1" applyProtection="1">
      <alignment horizontal="right" vertical="center"/>
    </xf>
    <xf numFmtId="178" fontId="5" fillId="4" borderId="0" xfId="1" applyNumberFormat="1" applyFont="1" applyFill="1" applyBorder="1" applyAlignment="1" applyProtection="1">
      <alignment horizontal="right" vertical="center"/>
    </xf>
    <xf numFmtId="178" fontId="4" fillId="3" borderId="0" xfId="1" applyNumberFormat="1" applyFont="1" applyFill="1" applyBorder="1" applyAlignment="1" applyProtection="1">
      <alignment horizontal="right" vertical="center"/>
    </xf>
    <xf numFmtId="178" fontId="5" fillId="4" borderId="7" xfId="1" applyNumberFormat="1" applyFont="1" applyFill="1" applyBorder="1" applyAlignment="1" applyProtection="1">
      <alignment horizontal="right" vertical="center"/>
    </xf>
    <xf numFmtId="178" fontId="4" fillId="3" borderId="11" xfId="1" applyNumberFormat="1" applyFont="1" applyFill="1" applyBorder="1" applyAlignment="1" applyProtection="1">
      <alignment horizontal="right" vertical="center"/>
    </xf>
    <xf numFmtId="0" fontId="11" fillId="3" borderId="0" xfId="0" applyFont="1" applyFill="1" applyAlignment="1">
      <alignment horizontal="left" vertical="center"/>
    </xf>
    <xf numFmtId="183" fontId="11" fillId="3" borderId="2" xfId="1" applyNumberFormat="1" applyFont="1" applyFill="1" applyBorder="1" applyAlignment="1" applyProtection="1">
      <alignment horizontal="right" vertical="center"/>
    </xf>
    <xf numFmtId="0" fontId="11" fillId="3" borderId="9" xfId="0" applyFont="1" applyFill="1" applyBorder="1" applyAlignment="1">
      <alignment horizontal="left" vertical="center"/>
    </xf>
    <xf numFmtId="183" fontId="11" fillId="3" borderId="10" xfId="1" applyNumberFormat="1" applyFont="1" applyFill="1" applyBorder="1" applyAlignment="1" applyProtection="1">
      <alignment horizontal="right" vertical="center"/>
    </xf>
    <xf numFmtId="178" fontId="11" fillId="3" borderId="2" xfId="1" applyNumberFormat="1" applyFont="1" applyFill="1" applyBorder="1" applyAlignment="1" applyProtection="1">
      <alignment horizontal="right" vertical="center"/>
    </xf>
    <xf numFmtId="178" fontId="11" fillId="3" borderId="10" xfId="1" applyNumberFormat="1" applyFont="1" applyFill="1" applyBorder="1" applyAlignment="1" applyProtection="1">
      <alignment horizontal="right" vertical="center"/>
    </xf>
    <xf numFmtId="184" fontId="11" fillId="3" borderId="0" xfId="0" applyNumberFormat="1" applyFont="1" applyFill="1" applyAlignment="1">
      <alignment horizontal="right" vertical="center"/>
    </xf>
    <xf numFmtId="184" fontId="6" fillId="3" borderId="0" xfId="0" applyNumberFormat="1" applyFont="1" applyFill="1" applyAlignment="1">
      <alignment horizontal="right" vertical="center"/>
    </xf>
    <xf numFmtId="184" fontId="11" fillId="3" borderId="9" xfId="0" applyNumberFormat="1" applyFont="1" applyFill="1" applyBorder="1" applyAlignment="1">
      <alignment horizontal="right" vertical="center"/>
    </xf>
    <xf numFmtId="184" fontId="6" fillId="3" borderId="5" xfId="0" applyNumberFormat="1" applyFont="1" applyFill="1" applyBorder="1" applyAlignment="1">
      <alignment horizontal="right" vertical="top"/>
    </xf>
    <xf numFmtId="177" fontId="11" fillId="3" borderId="0" xfId="0" applyNumberFormat="1" applyFont="1" applyFill="1" applyAlignment="1">
      <alignment horizontal="right" vertical="center"/>
    </xf>
    <xf numFmtId="177" fontId="6" fillId="3" borderId="0" xfId="0" applyNumberFormat="1" applyFont="1" applyFill="1" applyAlignment="1">
      <alignment horizontal="right" vertical="center"/>
    </xf>
    <xf numFmtId="177" fontId="11" fillId="3" borderId="9" xfId="0" applyNumberFormat="1" applyFont="1" applyFill="1" applyBorder="1" applyAlignment="1">
      <alignment horizontal="right" vertical="center"/>
    </xf>
    <xf numFmtId="177" fontId="6" fillId="3" borderId="5" xfId="0" applyNumberFormat="1" applyFont="1" applyFill="1" applyBorder="1" applyAlignment="1">
      <alignment horizontal="right" vertical="top"/>
    </xf>
    <xf numFmtId="185" fontId="11" fillId="3" borderId="0" xfId="0" applyNumberFormat="1" applyFont="1" applyFill="1" applyAlignment="1">
      <alignment horizontal="right" vertical="center"/>
    </xf>
    <xf numFmtId="185" fontId="6" fillId="3" borderId="0" xfId="0" applyNumberFormat="1" applyFont="1" applyFill="1" applyAlignment="1">
      <alignment horizontal="right" vertical="center"/>
    </xf>
    <xf numFmtId="186" fontId="11" fillId="3" borderId="0" xfId="0" applyNumberFormat="1" applyFont="1" applyFill="1" applyAlignment="1">
      <alignment horizontal="right" vertical="center"/>
    </xf>
    <xf numFmtId="186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187" fontId="3" fillId="2" borderId="0" xfId="0" applyNumberFormat="1" applyFont="1" applyFill="1" applyAlignment="1">
      <alignment horizontal="right" vertical="center"/>
    </xf>
    <xf numFmtId="187" fontId="3" fillId="2" borderId="1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wrapText="1" indent="2"/>
    </xf>
    <xf numFmtId="176" fontId="6" fillId="3" borderId="5" xfId="0" applyNumberFormat="1" applyFont="1" applyFill="1" applyBorder="1" applyAlignment="1">
      <alignment horizontal="left" vertical="top" indent="2"/>
    </xf>
    <xf numFmtId="0" fontId="5" fillId="4" borderId="7" xfId="0" applyFont="1" applyFill="1" applyBorder="1" applyAlignment="1">
      <alignment horizontal="left" vertical="center" indent="1"/>
    </xf>
    <xf numFmtId="1" fontId="5" fillId="4" borderId="8" xfId="1" applyNumberFormat="1" applyFont="1" applyFill="1" applyBorder="1" applyAlignment="1" applyProtection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176" fontId="4" fillId="3" borderId="0" xfId="0" applyNumberFormat="1" applyFont="1" applyFill="1" applyAlignment="1">
      <alignment horizontal="right" vertical="center" indent="3"/>
    </xf>
    <xf numFmtId="176" fontId="6" fillId="3" borderId="0" xfId="0" applyNumberFormat="1" applyFont="1" applyFill="1" applyAlignment="1">
      <alignment horizontal="right" vertical="center" indent="3"/>
    </xf>
    <xf numFmtId="179" fontId="4" fillId="3" borderId="0" xfId="0" applyNumberFormat="1" applyFont="1" applyFill="1" applyAlignment="1">
      <alignment horizontal="right" vertical="center" indent="3"/>
    </xf>
    <xf numFmtId="1" fontId="5" fillId="4" borderId="7" xfId="0" applyNumberFormat="1" applyFont="1" applyFill="1" applyBorder="1" applyAlignment="1">
      <alignment horizontal="right" vertical="center" indent="3"/>
    </xf>
    <xf numFmtId="176" fontId="6" fillId="3" borderId="5" xfId="0" applyNumberFormat="1" applyFont="1" applyFill="1" applyBorder="1" applyAlignment="1">
      <alignment horizontal="right" vertical="center" indent="3"/>
    </xf>
    <xf numFmtId="178" fontId="4" fillId="3" borderId="5" xfId="1" applyNumberFormat="1" applyFont="1" applyFill="1" applyBorder="1" applyAlignment="1" applyProtection="1">
      <alignment horizontal="right" vertical="center"/>
    </xf>
    <xf numFmtId="180" fontId="4" fillId="3" borderId="0" xfId="0" applyNumberFormat="1" applyFont="1" applyFill="1" applyAlignment="1">
      <alignment horizontal="right" vertical="center" indent="3"/>
    </xf>
    <xf numFmtId="0" fontId="5" fillId="4" borderId="7" xfId="0" applyFont="1" applyFill="1" applyBorder="1" applyAlignment="1">
      <alignment horizontal="right" vertical="center" indent="3"/>
    </xf>
    <xf numFmtId="177" fontId="5" fillId="4" borderId="7" xfId="0" applyNumberFormat="1" applyFont="1" applyFill="1" applyBorder="1" applyAlignment="1">
      <alignment horizontal="right" vertical="center" indent="3"/>
    </xf>
    <xf numFmtId="179" fontId="4" fillId="3" borderId="13" xfId="0" applyNumberFormat="1" applyFont="1" applyFill="1" applyBorder="1" applyAlignment="1">
      <alignment horizontal="right" vertical="center"/>
    </xf>
    <xf numFmtId="178" fontId="4" fillId="3" borderId="13" xfId="1" applyNumberFormat="1" applyFont="1" applyFill="1" applyBorder="1" applyAlignment="1" applyProtection="1">
      <alignment horizontal="right" vertical="center"/>
    </xf>
    <xf numFmtId="176" fontId="4" fillId="3" borderId="13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centerContinuous" vertical="center" wrapText="1"/>
    </xf>
    <xf numFmtId="176" fontId="0" fillId="0" borderId="0" xfId="0" applyNumberFormat="1"/>
    <xf numFmtId="188" fontId="0" fillId="0" borderId="0" xfId="0" applyNumberFormat="1"/>
    <xf numFmtId="184" fontId="0" fillId="0" borderId="0" xfId="0" applyNumberFormat="1"/>
    <xf numFmtId="0" fontId="4" fillId="0" borderId="0" xfId="0" applyFont="1" applyAlignment="1">
      <alignment vertical="center"/>
    </xf>
    <xf numFmtId="0" fontId="12" fillId="0" borderId="0" xfId="0" applyFont="1"/>
    <xf numFmtId="1" fontId="13" fillId="2" borderId="0" xfId="0" applyNumberFormat="1" applyFont="1" applyFill="1" applyAlignment="1">
      <alignment horizontal="centerContinuous" vertical="center"/>
    </xf>
    <xf numFmtId="187" fontId="13" fillId="2" borderId="1" xfId="0" applyNumberFormat="1" applyFont="1" applyFill="1" applyBorder="1" applyAlignment="1">
      <alignment horizontal="right" vertical="center"/>
    </xf>
    <xf numFmtId="177" fontId="13" fillId="4" borderId="0" xfId="0" applyNumberFormat="1" applyFont="1" applyFill="1" applyAlignment="1">
      <alignment horizontal="right" vertical="center"/>
    </xf>
    <xf numFmtId="177" fontId="13" fillId="3" borderId="0" xfId="0" applyNumberFormat="1" applyFont="1" applyFill="1" applyAlignment="1">
      <alignment vertical="center"/>
    </xf>
    <xf numFmtId="177" fontId="14" fillId="3" borderId="0" xfId="0" applyNumberFormat="1" applyFont="1" applyFill="1" applyAlignment="1">
      <alignment vertical="center"/>
    </xf>
    <xf numFmtId="177" fontId="13" fillId="3" borderId="9" xfId="0" applyNumberFormat="1" applyFont="1" applyFill="1" applyBorder="1" applyAlignment="1">
      <alignment vertical="center"/>
    </xf>
    <xf numFmtId="177" fontId="13" fillId="4" borderId="7" xfId="0" applyNumberFormat="1" applyFont="1" applyFill="1" applyBorder="1" applyAlignment="1">
      <alignment vertical="center"/>
    </xf>
    <xf numFmtId="186" fontId="13" fillId="3" borderId="0" xfId="0" applyNumberFormat="1" applyFont="1" applyFill="1" applyAlignment="1">
      <alignment vertical="center"/>
    </xf>
    <xf numFmtId="186" fontId="14" fillId="3" borderId="0" xfId="0" applyNumberFormat="1" applyFont="1" applyFill="1" applyAlignment="1">
      <alignment vertical="center"/>
    </xf>
    <xf numFmtId="177" fontId="14" fillId="3" borderId="5" xfId="0" applyNumberFormat="1" applyFont="1" applyFill="1" applyBorder="1" applyAlignment="1">
      <alignment vertical="top"/>
    </xf>
    <xf numFmtId="0" fontId="14" fillId="3" borderId="0" xfId="0" applyFont="1" applyFill="1" applyAlignment="1">
      <alignment vertical="center"/>
    </xf>
    <xf numFmtId="184" fontId="13" fillId="3" borderId="0" xfId="0" applyNumberFormat="1" applyFont="1" applyFill="1" applyAlignment="1">
      <alignment horizontal="right" vertical="center"/>
    </xf>
    <xf numFmtId="184" fontId="14" fillId="3" borderId="0" xfId="0" applyNumberFormat="1" applyFont="1" applyFill="1" applyAlignment="1">
      <alignment horizontal="right" vertical="center"/>
    </xf>
    <xf numFmtId="184" fontId="13" fillId="3" borderId="9" xfId="0" applyNumberFormat="1" applyFont="1" applyFill="1" applyBorder="1" applyAlignment="1">
      <alignment horizontal="right" vertical="center"/>
    </xf>
    <xf numFmtId="177" fontId="13" fillId="4" borderId="7" xfId="0" applyNumberFormat="1" applyFont="1" applyFill="1" applyBorder="1" applyAlignment="1">
      <alignment horizontal="right" vertical="center"/>
    </xf>
    <xf numFmtId="186" fontId="13" fillId="3" borderId="0" xfId="0" applyNumberFormat="1" applyFont="1" applyFill="1" applyAlignment="1">
      <alignment horizontal="right" vertical="center"/>
    </xf>
    <xf numFmtId="186" fontId="14" fillId="3" borderId="0" xfId="0" applyNumberFormat="1" applyFont="1" applyFill="1" applyAlignment="1">
      <alignment horizontal="right" vertical="center"/>
    </xf>
    <xf numFmtId="177" fontId="13" fillId="3" borderId="0" xfId="0" applyNumberFormat="1" applyFont="1" applyFill="1" applyAlignment="1">
      <alignment horizontal="right" vertical="center"/>
    </xf>
    <xf numFmtId="177" fontId="14" fillId="3" borderId="0" xfId="0" applyNumberFormat="1" applyFont="1" applyFill="1" applyAlignment="1">
      <alignment horizontal="right" vertical="center"/>
    </xf>
    <xf numFmtId="177" fontId="13" fillId="3" borderId="9" xfId="0" applyNumberFormat="1" applyFont="1" applyFill="1" applyBorder="1" applyAlignment="1">
      <alignment horizontal="right" vertical="center"/>
    </xf>
    <xf numFmtId="177" fontId="14" fillId="3" borderId="5" xfId="0" applyNumberFormat="1" applyFont="1" applyFill="1" applyBorder="1" applyAlignment="1">
      <alignment horizontal="right" vertical="top"/>
    </xf>
    <xf numFmtId="182" fontId="14" fillId="3" borderId="0" xfId="0" applyNumberFormat="1" applyFont="1" applyFill="1" applyAlignment="1">
      <alignment vertical="center"/>
    </xf>
    <xf numFmtId="193" fontId="0" fillId="0" borderId="0" xfId="0" applyNumberFormat="1"/>
    <xf numFmtId="194" fontId="0" fillId="0" borderId="0" xfId="0" applyNumberFormat="1"/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colors>
    <mruColors>
      <color rgb="FF2C95AB"/>
      <color rgb="FFEAF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'Regional Data'!$B$66</c:f>
              <c:strCache>
                <c:ptCount val="1"/>
                <c:pt idx="0">
                  <c:v>IT electricity consumption (TWh)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'Regional Data'!$C$55:$G$55</c:f>
              <c:numCache>
                <c:formatCode>0</c:formatCode>
                <c:ptCount val="5"/>
                <c:pt idx="0">
                  <c:v>2020</c:v>
                </c:pt>
                <c:pt idx="1">
                  <c:v>2023</c:v>
                </c:pt>
                <c:pt idx="2">
                  <c:v>2024</c:v>
                </c:pt>
                <c:pt idx="4">
                  <c:v>2030</c:v>
                </c:pt>
              </c:numCache>
            </c:numRef>
          </c:xVal>
          <c:yVal>
            <c:numRef>
              <c:f>'Regional Data'!$C$67:$G$67</c:f>
              <c:numCache>
                <c:formatCode>#\ ##0\ \ \ \ ;\-#\ ##0\ \ \ \ ;\-\ \ \ \ </c:formatCode>
                <c:ptCount val="5"/>
                <c:pt idx="0">
                  <c:v>176</c:v>
                </c:pt>
                <c:pt idx="1">
                  <c:v>252</c:v>
                </c:pt>
                <c:pt idx="2">
                  <c:v>295</c:v>
                </c:pt>
                <c:pt idx="3" formatCode="0\ ;\-0\ ;\-\ ">
                  <c:v>0</c:v>
                </c:pt>
                <c:pt idx="4">
                  <c:v>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0C-47B3-831E-E8DC31DE67CF}"/>
            </c:ext>
          </c:extLst>
        </c:ser>
        <c:ser>
          <c:idx val="1"/>
          <c:order val="1"/>
          <c:tx>
            <c:strRef>
              <c:f>'Regional Data'!$B$56</c:f>
              <c:strCache>
                <c:ptCount val="1"/>
                <c:pt idx="0">
                  <c:v>Total electricity consumption (TWh)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'Regional Data'!$C$55:$G$55</c:f>
              <c:numCache>
                <c:formatCode>0</c:formatCode>
                <c:ptCount val="5"/>
                <c:pt idx="0">
                  <c:v>2020</c:v>
                </c:pt>
                <c:pt idx="1">
                  <c:v>2023</c:v>
                </c:pt>
                <c:pt idx="2">
                  <c:v>2024</c:v>
                </c:pt>
                <c:pt idx="4">
                  <c:v>2030</c:v>
                </c:pt>
              </c:numCache>
            </c:numRef>
          </c:xVal>
          <c:yVal>
            <c:numRef>
              <c:f>'Regional Data'!$C$57:$G$57</c:f>
              <c:numCache>
                <c:formatCode>#\ ##0\ \ \ \ ;\-#\ ##0\ \ \ \ ;\-\ \ \ \ </c:formatCode>
                <c:ptCount val="5"/>
                <c:pt idx="0">
                  <c:v>269</c:v>
                </c:pt>
                <c:pt idx="1">
                  <c:v>361</c:v>
                </c:pt>
                <c:pt idx="2">
                  <c:v>416</c:v>
                </c:pt>
                <c:pt idx="3" formatCode="0\ ;\-0\ ;\-\ ">
                  <c:v>0</c:v>
                </c:pt>
                <c:pt idx="4">
                  <c:v>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0C-47B3-831E-E8DC31DE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20623"/>
        <c:axId val="1974361935"/>
      </c:scatterChart>
      <c:valAx>
        <c:axId val="200382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361935"/>
        <c:crosses val="autoZero"/>
        <c:crossBetween val="midCat"/>
      </c:valAx>
      <c:valAx>
        <c:axId val="197436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\ \ \ ;\-#\ ##0\ \ \ \ ;\-\ \ \ 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82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414008</xdr:colOff>
      <xdr:row>54</xdr:row>
      <xdr:rowOff>150100</xdr:rowOff>
    </xdr:from>
    <xdr:to>
      <xdr:col>18</xdr:col>
      <xdr:colOff>571171</xdr:colOff>
      <xdr:row>75</xdr:row>
      <xdr:rowOff>37606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0B7FDD5-F4A4-7863-FC7E-4912C0EA6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IEAchart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noAutofit/>
      </a:bodyPr>
      <a:lstStyle>
        <a:defPPr>
          <a:defRPr sz="105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ED93-4AA7-45A9-85AA-DF2FFE4F8D7D}">
  <sheetPr>
    <tabColor theme="8" tint="0.79998168889431442"/>
  </sheetPr>
  <dimension ref="A1:AI37"/>
  <sheetViews>
    <sheetView zoomScale="115" zoomScaleNormal="115" workbookViewId="0">
      <selection activeCell="F9" sqref="F9"/>
    </sheetView>
  </sheetViews>
  <sheetFormatPr defaultRowHeight="13.5" x14ac:dyDescent="0.15"/>
  <cols>
    <col min="2" max="2" width="0.5" customWidth="1"/>
    <col min="3" max="3" width="24.125" customWidth="1"/>
    <col min="4" max="6" width="5.75" customWidth="1"/>
    <col min="7" max="7" width="0.125" style="18" customWidth="1"/>
    <col min="8" max="8" width="5.75" style="83" customWidth="1"/>
    <col min="9" max="9" width="5.75" customWidth="1"/>
    <col min="10" max="10" width="0.5" style="18" customWidth="1"/>
    <col min="11" max="11" width="5.75" style="83" customWidth="1"/>
    <col min="12" max="12" width="5.75" customWidth="1"/>
    <col min="13" max="13" width="0.5" style="18" customWidth="1"/>
    <col min="14" max="14" width="5.75" style="83" customWidth="1"/>
    <col min="15" max="15" width="5.75" customWidth="1"/>
    <col min="16" max="16" width="0.5" style="18" customWidth="1"/>
    <col min="17" max="18" width="5.75" customWidth="1"/>
    <col min="19" max="19" width="0.25" style="18" customWidth="1"/>
  </cols>
  <sheetData>
    <row r="1" spans="1:35" x14ac:dyDescent="0.15">
      <c r="G1" s="11"/>
      <c r="J1" s="11"/>
      <c r="M1" s="11"/>
      <c r="P1" s="11"/>
      <c r="S1" s="11"/>
    </row>
    <row r="2" spans="1:35" ht="15" customHeight="1" x14ac:dyDescent="0.15">
      <c r="B2" s="12"/>
      <c r="C2" s="3"/>
      <c r="D2" s="3"/>
      <c r="E2" s="3"/>
      <c r="F2" s="3"/>
      <c r="G2" s="12"/>
      <c r="H2" s="84" t="s">
        <v>22</v>
      </c>
      <c r="I2" s="20"/>
      <c r="J2" s="12"/>
      <c r="K2" s="84" t="s">
        <v>23</v>
      </c>
      <c r="L2" s="20"/>
      <c r="M2" s="12"/>
      <c r="N2" s="84" t="s">
        <v>24</v>
      </c>
      <c r="O2" s="20"/>
      <c r="P2" s="12"/>
      <c r="Q2" s="21" t="s">
        <v>25</v>
      </c>
      <c r="R2" s="20"/>
      <c r="S2" s="12"/>
    </row>
    <row r="3" spans="1:35" ht="15" customHeight="1" x14ac:dyDescent="0.15">
      <c r="B3" s="12"/>
      <c r="C3" s="2"/>
      <c r="D3" s="57">
        <v>2020</v>
      </c>
      <c r="E3" s="57">
        <v>2023</v>
      </c>
      <c r="F3" s="57">
        <v>2024</v>
      </c>
      <c r="G3" s="55"/>
      <c r="H3" s="85">
        <v>2030</v>
      </c>
      <c r="I3" s="56" t="s">
        <v>15</v>
      </c>
      <c r="J3" s="55"/>
      <c r="K3" s="85">
        <v>2030</v>
      </c>
      <c r="L3" s="56" t="s">
        <v>15</v>
      </c>
      <c r="M3" s="55"/>
      <c r="N3" s="85">
        <v>2030</v>
      </c>
      <c r="O3" s="56" t="s">
        <v>15</v>
      </c>
      <c r="P3" s="55"/>
      <c r="Q3" s="58">
        <v>2030</v>
      </c>
      <c r="R3" s="56" t="s">
        <v>15</v>
      </c>
      <c r="S3" s="12"/>
    </row>
    <row r="4" spans="1:35" ht="15" customHeight="1" x14ac:dyDescent="0.15">
      <c r="B4" s="33"/>
      <c r="C4" s="6" t="s">
        <v>26</v>
      </c>
      <c r="D4" s="6"/>
      <c r="E4" s="7"/>
      <c r="F4" s="7"/>
      <c r="G4" s="8"/>
      <c r="H4" s="86"/>
      <c r="I4" s="7"/>
      <c r="J4" s="8"/>
      <c r="K4" s="86"/>
      <c r="L4" s="7"/>
      <c r="M4" s="8"/>
      <c r="N4" s="86"/>
      <c r="O4" s="7"/>
      <c r="P4" s="8"/>
      <c r="Q4" s="7"/>
      <c r="R4" s="7"/>
      <c r="S4" s="33"/>
    </row>
    <row r="5" spans="1:35" ht="15" customHeight="1" x14ac:dyDescent="0.15">
      <c r="B5" s="34"/>
      <c r="C5" s="37" t="s">
        <v>1</v>
      </c>
      <c r="D5" s="43">
        <v>60</v>
      </c>
      <c r="E5" s="43">
        <v>83</v>
      </c>
      <c r="F5" s="43">
        <v>97</v>
      </c>
      <c r="G5" s="38"/>
      <c r="H5" s="87">
        <v>226</v>
      </c>
      <c r="I5" s="43">
        <v>277</v>
      </c>
      <c r="J5" s="38"/>
      <c r="K5" s="95">
        <v>305</v>
      </c>
      <c r="L5" s="43">
        <v>404</v>
      </c>
      <c r="M5" s="38"/>
      <c r="N5" s="101">
        <v>185</v>
      </c>
      <c r="O5" s="43">
        <v>221</v>
      </c>
      <c r="P5" s="38"/>
      <c r="Q5" s="47">
        <v>158</v>
      </c>
      <c r="R5" s="43">
        <v>160</v>
      </c>
      <c r="S5" s="34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</row>
    <row r="6" spans="1:35" ht="15" customHeight="1" x14ac:dyDescent="0.15">
      <c r="B6" s="34"/>
      <c r="C6" s="9" t="s">
        <v>12</v>
      </c>
      <c r="D6" s="44">
        <v>20</v>
      </c>
      <c r="E6" s="44">
        <v>31</v>
      </c>
      <c r="F6" s="44">
        <v>36</v>
      </c>
      <c r="G6" s="28"/>
      <c r="H6" s="88">
        <v>85</v>
      </c>
      <c r="I6" s="44">
        <v>103</v>
      </c>
      <c r="J6" s="28"/>
      <c r="K6" s="96">
        <v>108</v>
      </c>
      <c r="L6" s="44">
        <v>139</v>
      </c>
      <c r="M6" s="28"/>
      <c r="N6" s="102">
        <v>89</v>
      </c>
      <c r="O6" s="44">
        <v>103</v>
      </c>
      <c r="P6" s="28"/>
      <c r="Q6" s="48">
        <v>62</v>
      </c>
      <c r="R6" s="44">
        <v>64</v>
      </c>
      <c r="S6" s="34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</row>
    <row r="7" spans="1:35" ht="26.1" customHeight="1" x14ac:dyDescent="0.15">
      <c r="A7" s="1"/>
      <c r="B7" s="34"/>
      <c r="C7" s="9" t="s">
        <v>14</v>
      </c>
      <c r="D7" s="44">
        <v>19</v>
      </c>
      <c r="E7" s="44">
        <v>27</v>
      </c>
      <c r="F7" s="44">
        <v>35</v>
      </c>
      <c r="G7" s="28"/>
      <c r="H7" s="88">
        <v>86</v>
      </c>
      <c r="I7" s="44">
        <v>116</v>
      </c>
      <c r="J7" s="28"/>
      <c r="K7" s="96">
        <v>118</v>
      </c>
      <c r="L7" s="44">
        <v>172</v>
      </c>
      <c r="M7" s="28"/>
      <c r="N7" s="102">
        <v>93</v>
      </c>
      <c r="O7" s="44">
        <v>115</v>
      </c>
      <c r="P7" s="28"/>
      <c r="Q7" s="48">
        <v>59</v>
      </c>
      <c r="R7" s="44">
        <v>66</v>
      </c>
      <c r="S7" s="34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</row>
    <row r="8" spans="1:35" ht="15" customHeight="1" x14ac:dyDescent="0.15">
      <c r="A8" s="1"/>
      <c r="B8" s="34"/>
      <c r="C8" s="9" t="s">
        <v>13</v>
      </c>
      <c r="D8" s="44">
        <v>20</v>
      </c>
      <c r="E8" s="44">
        <v>25</v>
      </c>
      <c r="F8" s="44">
        <v>27</v>
      </c>
      <c r="G8" s="28"/>
      <c r="H8" s="88">
        <v>55</v>
      </c>
      <c r="I8" s="44">
        <v>58</v>
      </c>
      <c r="J8" s="28"/>
      <c r="K8" s="96">
        <v>78</v>
      </c>
      <c r="L8" s="44">
        <v>93</v>
      </c>
      <c r="M8" s="28"/>
      <c r="N8" s="102">
        <v>3</v>
      </c>
      <c r="O8" s="44">
        <v>3</v>
      </c>
      <c r="P8" s="28"/>
      <c r="Q8" s="48">
        <v>36</v>
      </c>
      <c r="R8" s="44">
        <v>31</v>
      </c>
      <c r="S8" s="34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</row>
    <row r="9" spans="1:35" ht="15" customHeight="1" x14ac:dyDescent="0.15">
      <c r="B9" s="34"/>
      <c r="C9" s="39" t="s">
        <v>16</v>
      </c>
      <c r="D9" s="45">
        <v>38</v>
      </c>
      <c r="E9" s="45">
        <v>57</v>
      </c>
      <c r="F9" s="45">
        <v>68</v>
      </c>
      <c r="G9" s="40"/>
      <c r="H9" s="89">
        <v>174</v>
      </c>
      <c r="I9" s="45">
        <v>228</v>
      </c>
      <c r="J9" s="40"/>
      <c r="K9" s="97">
        <v>233</v>
      </c>
      <c r="L9" s="45">
        <v>330</v>
      </c>
      <c r="M9" s="40"/>
      <c r="N9" s="103">
        <v>153</v>
      </c>
      <c r="O9" s="45">
        <v>196</v>
      </c>
      <c r="P9" s="40"/>
      <c r="Q9" s="49">
        <v>122</v>
      </c>
      <c r="R9" s="45">
        <v>132</v>
      </c>
      <c r="S9" s="34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</row>
    <row r="10" spans="1:35" ht="15" customHeight="1" x14ac:dyDescent="0.15">
      <c r="A10" s="1"/>
      <c r="B10" s="34"/>
      <c r="C10" s="9" t="s">
        <v>12</v>
      </c>
      <c r="D10" s="44">
        <v>17</v>
      </c>
      <c r="E10" s="44">
        <v>27</v>
      </c>
      <c r="F10" s="44">
        <v>31</v>
      </c>
      <c r="G10" s="28"/>
      <c r="H10" s="88">
        <v>77</v>
      </c>
      <c r="I10" s="44">
        <v>94</v>
      </c>
      <c r="J10" s="28"/>
      <c r="K10" s="96">
        <v>98</v>
      </c>
      <c r="L10" s="44">
        <v>127</v>
      </c>
      <c r="M10" s="28"/>
      <c r="N10" s="102">
        <v>81</v>
      </c>
      <c r="O10" s="44">
        <v>95</v>
      </c>
      <c r="P10" s="28"/>
      <c r="Q10" s="48">
        <v>56</v>
      </c>
      <c r="R10" s="44">
        <v>58</v>
      </c>
      <c r="S10" s="34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</row>
    <row r="11" spans="1:35" ht="30" customHeight="1" x14ac:dyDescent="0.15">
      <c r="A11" s="1"/>
      <c r="B11" s="34"/>
      <c r="C11" s="9" t="s">
        <v>14</v>
      </c>
      <c r="D11" s="44">
        <v>11</v>
      </c>
      <c r="E11" s="44">
        <v>17</v>
      </c>
      <c r="F11" s="44">
        <v>23</v>
      </c>
      <c r="G11" s="28"/>
      <c r="H11" s="88">
        <v>65</v>
      </c>
      <c r="I11" s="44">
        <v>96</v>
      </c>
      <c r="J11" s="28"/>
      <c r="K11" s="96">
        <v>89</v>
      </c>
      <c r="L11" s="44">
        <v>142</v>
      </c>
      <c r="M11" s="28"/>
      <c r="N11" s="102">
        <v>70</v>
      </c>
      <c r="O11" s="44">
        <v>100</v>
      </c>
      <c r="P11" s="28"/>
      <c r="Q11" s="48">
        <v>44</v>
      </c>
      <c r="R11" s="44">
        <v>54</v>
      </c>
      <c r="S11" s="34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</row>
    <row r="12" spans="1:35" ht="15" customHeight="1" x14ac:dyDescent="0.15">
      <c r="A12" s="1"/>
      <c r="B12" s="34"/>
      <c r="C12" s="9" t="s">
        <v>13</v>
      </c>
      <c r="D12" s="44">
        <v>10</v>
      </c>
      <c r="E12" s="44">
        <v>13</v>
      </c>
      <c r="F12" s="44">
        <v>14</v>
      </c>
      <c r="G12" s="28"/>
      <c r="H12" s="88">
        <v>32</v>
      </c>
      <c r="I12" s="44">
        <v>38</v>
      </c>
      <c r="J12" s="28"/>
      <c r="K12" s="96">
        <v>46</v>
      </c>
      <c r="L12" s="44">
        <v>61</v>
      </c>
      <c r="M12" s="28"/>
      <c r="N12" s="102">
        <v>2</v>
      </c>
      <c r="O12" s="44">
        <v>2</v>
      </c>
      <c r="P12" s="28"/>
      <c r="Q12" s="48">
        <v>21</v>
      </c>
      <c r="R12" s="44">
        <v>20</v>
      </c>
      <c r="S12" s="34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</row>
    <row r="13" spans="1:35" ht="15" customHeight="1" x14ac:dyDescent="0.15">
      <c r="B13" s="35"/>
      <c r="C13" s="30" t="s">
        <v>2</v>
      </c>
      <c r="D13" s="30"/>
      <c r="E13" s="31"/>
      <c r="F13" s="31"/>
      <c r="G13" s="32"/>
      <c r="H13" s="90"/>
      <c r="I13" s="31"/>
      <c r="J13" s="32"/>
      <c r="K13" s="98"/>
      <c r="L13" s="31"/>
      <c r="M13" s="32"/>
      <c r="N13" s="98"/>
      <c r="O13" s="31"/>
      <c r="P13" s="32"/>
      <c r="Q13" s="31"/>
      <c r="R13" s="31"/>
      <c r="S13" s="35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</row>
    <row r="14" spans="1:35" ht="15" customHeight="1" x14ac:dyDescent="0.15">
      <c r="B14" s="34"/>
      <c r="C14" s="37" t="s">
        <v>1</v>
      </c>
      <c r="D14" s="51">
        <v>1.53</v>
      </c>
      <c r="E14" s="51">
        <v>1.43</v>
      </c>
      <c r="F14" s="51">
        <v>1.41</v>
      </c>
      <c r="G14" s="41"/>
      <c r="H14" s="91">
        <v>1.29</v>
      </c>
      <c r="I14" s="51">
        <v>1.21</v>
      </c>
      <c r="J14" s="41"/>
      <c r="K14" s="99">
        <v>1.3</v>
      </c>
      <c r="L14" s="51">
        <v>1.22</v>
      </c>
      <c r="M14" s="41"/>
      <c r="N14" s="99">
        <v>1.21</v>
      </c>
      <c r="O14" s="51">
        <v>1.1299999999999999</v>
      </c>
      <c r="P14" s="41"/>
      <c r="Q14" s="53">
        <v>1.28</v>
      </c>
      <c r="R14" s="51">
        <v>1.2</v>
      </c>
      <c r="S14" s="34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</row>
    <row r="15" spans="1:35" ht="15" customHeight="1" x14ac:dyDescent="0.15">
      <c r="B15" s="34"/>
      <c r="C15" s="9" t="s">
        <v>12</v>
      </c>
      <c r="D15" s="52">
        <v>1.19</v>
      </c>
      <c r="E15" s="52">
        <v>1.1499999999999999</v>
      </c>
      <c r="F15" s="52">
        <v>1.1399999999999999</v>
      </c>
      <c r="G15" s="19"/>
      <c r="H15" s="92">
        <v>1.1000000000000001</v>
      </c>
      <c r="I15" s="52">
        <v>1.0900000000000001</v>
      </c>
      <c r="J15" s="19"/>
      <c r="K15" s="100">
        <v>1.1000000000000001</v>
      </c>
      <c r="L15" s="52">
        <v>1.0900000000000001</v>
      </c>
      <c r="M15" s="19"/>
      <c r="N15" s="100">
        <v>1.1000000000000001</v>
      </c>
      <c r="O15" s="52">
        <v>1.0900000000000001</v>
      </c>
      <c r="P15" s="19"/>
      <c r="Q15" s="54">
        <v>1.1000000000000001</v>
      </c>
      <c r="R15" s="52">
        <v>1.0900000000000001</v>
      </c>
      <c r="S15" s="34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</row>
    <row r="16" spans="1:35" ht="32.450000000000003" customHeight="1" x14ac:dyDescent="0.15">
      <c r="A16" s="1"/>
      <c r="B16" s="34"/>
      <c r="C16" s="9" t="s">
        <v>14</v>
      </c>
      <c r="D16" s="52">
        <v>1.67</v>
      </c>
      <c r="E16" s="52">
        <v>1.56</v>
      </c>
      <c r="F16" s="52">
        <v>1.53</v>
      </c>
      <c r="G16" s="19"/>
      <c r="H16" s="92">
        <v>1.33</v>
      </c>
      <c r="I16" s="52">
        <v>1.21</v>
      </c>
      <c r="J16" s="19"/>
      <c r="K16" s="100">
        <v>1.33</v>
      </c>
      <c r="L16" s="52">
        <v>1.21</v>
      </c>
      <c r="M16" s="19"/>
      <c r="N16" s="100">
        <v>1.32</v>
      </c>
      <c r="O16" s="52">
        <v>1.1499999999999999</v>
      </c>
      <c r="P16" s="19"/>
      <c r="Q16" s="54">
        <v>1.33</v>
      </c>
      <c r="R16" s="52">
        <v>1.21</v>
      </c>
      <c r="S16" s="34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</row>
    <row r="17" spans="1:35" ht="15" customHeight="1" x14ac:dyDescent="0.15">
      <c r="A17" s="1"/>
      <c r="B17" s="34"/>
      <c r="C17" s="9" t="s">
        <v>13</v>
      </c>
      <c r="D17" s="52">
        <v>2.0499999999999998</v>
      </c>
      <c r="E17" s="52">
        <v>1.95</v>
      </c>
      <c r="F17" s="52">
        <v>1.92</v>
      </c>
      <c r="G17" s="19"/>
      <c r="H17" s="92">
        <v>1.71</v>
      </c>
      <c r="I17" s="52">
        <v>1.54</v>
      </c>
      <c r="J17" s="19"/>
      <c r="K17" s="100">
        <v>1.72</v>
      </c>
      <c r="L17" s="52">
        <v>1.54</v>
      </c>
      <c r="M17" s="19"/>
      <c r="N17" s="100">
        <v>1.67</v>
      </c>
      <c r="O17" s="52">
        <v>1.46</v>
      </c>
      <c r="P17" s="19"/>
      <c r="Q17" s="54">
        <v>1.71</v>
      </c>
      <c r="R17" s="52">
        <v>1.53</v>
      </c>
      <c r="S17" s="34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</row>
    <row r="18" spans="1:35" ht="15" customHeight="1" x14ac:dyDescent="0.15">
      <c r="B18" s="35"/>
      <c r="C18" s="30" t="s">
        <v>19</v>
      </c>
      <c r="D18" s="30"/>
      <c r="E18" s="31"/>
      <c r="F18" s="31"/>
      <c r="G18" s="32"/>
      <c r="H18" s="90"/>
      <c r="I18" s="31"/>
      <c r="J18" s="32"/>
      <c r="K18" s="98"/>
      <c r="L18" s="31"/>
      <c r="M18" s="32"/>
      <c r="N18" s="98"/>
      <c r="O18" s="31"/>
      <c r="P18" s="32"/>
      <c r="Q18" s="31"/>
      <c r="R18" s="31"/>
      <c r="S18" s="35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</row>
    <row r="19" spans="1:35" ht="15" customHeight="1" x14ac:dyDescent="0.15">
      <c r="B19" s="34"/>
      <c r="C19" s="37" t="s">
        <v>1</v>
      </c>
      <c r="D19" s="43">
        <v>51</v>
      </c>
      <c r="E19" s="43">
        <v>49</v>
      </c>
      <c r="F19" s="43">
        <v>49</v>
      </c>
      <c r="G19" s="41"/>
      <c r="H19" s="87">
        <v>48</v>
      </c>
      <c r="I19" s="43">
        <v>49</v>
      </c>
      <c r="J19" s="41"/>
      <c r="K19" s="95">
        <v>47</v>
      </c>
      <c r="L19" s="43">
        <v>49</v>
      </c>
      <c r="M19" s="41"/>
      <c r="N19" s="101">
        <v>49</v>
      </c>
      <c r="O19" s="43">
        <v>50</v>
      </c>
      <c r="P19" s="41"/>
      <c r="Q19" s="47">
        <v>48</v>
      </c>
      <c r="R19" s="43">
        <v>50</v>
      </c>
      <c r="S19" s="34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</row>
    <row r="20" spans="1:35" ht="15" customHeight="1" x14ac:dyDescent="0.15">
      <c r="B20" s="34"/>
      <c r="C20" s="9" t="s">
        <v>12</v>
      </c>
      <c r="D20" s="44">
        <v>56</v>
      </c>
      <c r="E20" s="44">
        <v>54</v>
      </c>
      <c r="F20" s="44">
        <v>53</v>
      </c>
      <c r="G20" s="19"/>
      <c r="H20" s="88">
        <v>51</v>
      </c>
      <c r="I20" s="44">
        <v>52</v>
      </c>
      <c r="J20" s="19"/>
      <c r="K20" s="96">
        <v>50</v>
      </c>
      <c r="L20" s="44">
        <v>51</v>
      </c>
      <c r="M20" s="19"/>
      <c r="N20" s="102">
        <v>51</v>
      </c>
      <c r="O20" s="44">
        <v>52</v>
      </c>
      <c r="P20" s="19"/>
      <c r="Q20" s="48">
        <v>51</v>
      </c>
      <c r="R20" s="44">
        <v>53</v>
      </c>
      <c r="S20" s="34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 spans="1:35" ht="24" customHeight="1" x14ac:dyDescent="0.15">
      <c r="A21" s="1"/>
      <c r="B21" s="34"/>
      <c r="C21" s="9" t="s">
        <v>14</v>
      </c>
      <c r="D21" s="44">
        <v>50</v>
      </c>
      <c r="E21" s="44">
        <v>48</v>
      </c>
      <c r="F21" s="44">
        <v>48</v>
      </c>
      <c r="G21" s="19"/>
      <c r="H21" s="88">
        <v>47</v>
      </c>
      <c r="I21" s="44">
        <v>48</v>
      </c>
      <c r="J21" s="19"/>
      <c r="K21" s="96">
        <v>47</v>
      </c>
      <c r="L21" s="44">
        <v>48</v>
      </c>
      <c r="M21" s="19"/>
      <c r="N21" s="102">
        <v>47</v>
      </c>
      <c r="O21" s="44">
        <v>49</v>
      </c>
      <c r="P21" s="19"/>
      <c r="Q21" s="48">
        <v>48</v>
      </c>
      <c r="R21" s="44">
        <v>50</v>
      </c>
      <c r="S21" s="34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</row>
    <row r="22" spans="1:35" ht="15" customHeight="1" x14ac:dyDescent="0.15">
      <c r="A22" s="1"/>
      <c r="B22" s="34"/>
      <c r="C22" s="9" t="s">
        <v>13</v>
      </c>
      <c r="D22" s="44">
        <v>48</v>
      </c>
      <c r="E22" s="44">
        <v>46</v>
      </c>
      <c r="F22" s="44">
        <v>45</v>
      </c>
      <c r="G22" s="19"/>
      <c r="H22" s="88">
        <v>45</v>
      </c>
      <c r="I22" s="44">
        <v>46</v>
      </c>
      <c r="J22" s="19"/>
      <c r="K22" s="96">
        <v>44</v>
      </c>
      <c r="L22" s="44">
        <v>46</v>
      </c>
      <c r="M22" s="19"/>
      <c r="N22" s="102">
        <v>45</v>
      </c>
      <c r="O22" s="44">
        <v>47</v>
      </c>
      <c r="P22" s="19"/>
      <c r="Q22" s="48">
        <v>45</v>
      </c>
      <c r="R22" s="44">
        <v>48</v>
      </c>
      <c r="S22" s="34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</row>
    <row r="23" spans="1:35" ht="15" customHeight="1" x14ac:dyDescent="0.15">
      <c r="B23" s="35"/>
      <c r="C23" s="30" t="s">
        <v>27</v>
      </c>
      <c r="D23" s="30"/>
      <c r="E23" s="31"/>
      <c r="F23" s="31"/>
      <c r="G23" s="32"/>
      <c r="H23" s="90"/>
      <c r="I23" s="31"/>
      <c r="J23" s="32"/>
      <c r="K23" s="98"/>
      <c r="L23" s="31"/>
      <c r="M23" s="32"/>
      <c r="N23" s="98"/>
      <c r="O23" s="31"/>
      <c r="P23" s="32"/>
      <c r="Q23" s="31"/>
      <c r="R23" s="31"/>
      <c r="S23" s="35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spans="1:35" ht="15" customHeight="1" x14ac:dyDescent="0.15">
      <c r="B24" s="34"/>
      <c r="C24" s="37" t="s">
        <v>1</v>
      </c>
      <c r="D24" s="43">
        <v>269</v>
      </c>
      <c r="E24" s="43">
        <v>361</v>
      </c>
      <c r="F24" s="43">
        <v>416</v>
      </c>
      <c r="G24" s="41"/>
      <c r="H24" s="87">
        <v>946</v>
      </c>
      <c r="I24" s="43">
        <v>1193</v>
      </c>
      <c r="J24" s="41"/>
      <c r="K24" s="101">
        <v>1264</v>
      </c>
      <c r="L24" s="43">
        <v>1719</v>
      </c>
      <c r="M24" s="41"/>
      <c r="N24" s="101">
        <v>792</v>
      </c>
      <c r="O24" s="43">
        <v>972</v>
      </c>
      <c r="P24" s="41"/>
      <c r="Q24" s="47">
        <v>669</v>
      </c>
      <c r="R24" s="43">
        <v>707</v>
      </c>
      <c r="S24" s="34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</row>
    <row r="25" spans="1:35" ht="15" customHeight="1" x14ac:dyDescent="0.15">
      <c r="B25" s="34"/>
      <c r="C25" s="9" t="s">
        <v>12</v>
      </c>
      <c r="D25" s="44">
        <v>100</v>
      </c>
      <c r="E25" s="44">
        <v>148</v>
      </c>
      <c r="F25" s="44">
        <v>166</v>
      </c>
      <c r="G25" s="19"/>
      <c r="H25" s="88">
        <v>378</v>
      </c>
      <c r="I25" s="44">
        <v>466</v>
      </c>
      <c r="J25" s="19"/>
      <c r="K25" s="102">
        <v>479</v>
      </c>
      <c r="L25" s="44">
        <v>626</v>
      </c>
      <c r="M25" s="19"/>
      <c r="N25" s="102">
        <v>397</v>
      </c>
      <c r="O25" s="44">
        <v>472</v>
      </c>
      <c r="P25" s="19"/>
      <c r="Q25" s="48">
        <v>279</v>
      </c>
      <c r="R25" s="44">
        <v>293</v>
      </c>
      <c r="S25" s="34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</row>
    <row r="26" spans="1:35" ht="26.45" customHeight="1" x14ac:dyDescent="0.15">
      <c r="A26" s="1"/>
      <c r="B26" s="34"/>
      <c r="C26" s="9" t="s">
        <v>14</v>
      </c>
      <c r="D26" s="44">
        <v>85</v>
      </c>
      <c r="E26" s="44">
        <v>112</v>
      </c>
      <c r="F26" s="44">
        <v>144</v>
      </c>
      <c r="G26" s="19"/>
      <c r="H26" s="88">
        <v>355</v>
      </c>
      <c r="I26" s="44">
        <v>493</v>
      </c>
      <c r="J26" s="19"/>
      <c r="K26" s="102">
        <v>482</v>
      </c>
      <c r="L26" s="44">
        <v>721</v>
      </c>
      <c r="M26" s="19"/>
      <c r="N26" s="102">
        <v>385</v>
      </c>
      <c r="O26" s="44">
        <v>490</v>
      </c>
      <c r="P26" s="19"/>
      <c r="Q26" s="48">
        <v>246</v>
      </c>
      <c r="R26" s="44">
        <v>285</v>
      </c>
      <c r="S26" s="34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</row>
    <row r="27" spans="1:35" ht="15" customHeight="1" x14ac:dyDescent="0.15">
      <c r="A27" s="1"/>
      <c r="B27" s="34"/>
      <c r="C27" s="9" t="s">
        <v>13</v>
      </c>
      <c r="D27" s="44">
        <v>85</v>
      </c>
      <c r="E27" s="44">
        <v>100</v>
      </c>
      <c r="F27" s="44">
        <v>106</v>
      </c>
      <c r="G27" s="19"/>
      <c r="H27" s="88">
        <v>213</v>
      </c>
      <c r="I27" s="44">
        <v>234</v>
      </c>
      <c r="J27" s="19"/>
      <c r="K27" s="102">
        <v>303</v>
      </c>
      <c r="L27" s="44">
        <v>372</v>
      </c>
      <c r="M27" s="19"/>
      <c r="N27" s="102">
        <v>10</v>
      </c>
      <c r="O27" s="44">
        <v>10</v>
      </c>
      <c r="P27" s="19"/>
      <c r="Q27" s="48">
        <v>144</v>
      </c>
      <c r="R27" s="44">
        <v>128</v>
      </c>
      <c r="S27" s="34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</row>
    <row r="28" spans="1:35" ht="15" customHeight="1" x14ac:dyDescent="0.15">
      <c r="A28" s="1"/>
      <c r="B28" s="34"/>
      <c r="C28" s="39" t="s">
        <v>16</v>
      </c>
      <c r="D28" s="45">
        <v>176</v>
      </c>
      <c r="E28" s="45">
        <v>252</v>
      </c>
      <c r="F28" s="45">
        <v>295</v>
      </c>
      <c r="G28" s="42"/>
      <c r="H28" s="89">
        <v>733</v>
      </c>
      <c r="I28" s="45">
        <v>985</v>
      </c>
      <c r="J28" s="42"/>
      <c r="K28" s="103">
        <v>972</v>
      </c>
      <c r="L28" s="45">
        <v>1409</v>
      </c>
      <c r="M28" s="42"/>
      <c r="N28" s="103">
        <v>657</v>
      </c>
      <c r="O28" s="45">
        <v>864</v>
      </c>
      <c r="P28" s="42"/>
      <c r="Q28" s="49">
        <v>522</v>
      </c>
      <c r="R28" s="45">
        <v>587</v>
      </c>
      <c r="S28" s="34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</row>
    <row r="29" spans="1:35" ht="15" customHeight="1" x14ac:dyDescent="0.15">
      <c r="A29" s="1"/>
      <c r="B29" s="34"/>
      <c r="C29" s="9" t="s">
        <v>12</v>
      </c>
      <c r="D29" s="44">
        <v>84</v>
      </c>
      <c r="E29" s="44">
        <v>129</v>
      </c>
      <c r="F29" s="44">
        <v>146</v>
      </c>
      <c r="G29" s="19"/>
      <c r="H29" s="88">
        <v>342</v>
      </c>
      <c r="I29" s="44">
        <v>427</v>
      </c>
      <c r="J29" s="19"/>
      <c r="K29" s="102">
        <v>434</v>
      </c>
      <c r="L29" s="44">
        <v>574</v>
      </c>
      <c r="M29" s="19"/>
      <c r="N29" s="102">
        <v>360</v>
      </c>
      <c r="O29" s="44">
        <v>432</v>
      </c>
      <c r="P29" s="19"/>
      <c r="Q29" s="48">
        <v>253</v>
      </c>
      <c r="R29" s="44">
        <v>269</v>
      </c>
      <c r="S29" s="34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</row>
    <row r="30" spans="1:35" ht="23.1" customHeight="1" x14ac:dyDescent="0.15">
      <c r="A30" s="1"/>
      <c r="B30" s="34"/>
      <c r="C30" s="9" t="s">
        <v>14</v>
      </c>
      <c r="D30" s="44">
        <v>51</v>
      </c>
      <c r="E30" s="44">
        <v>72</v>
      </c>
      <c r="F30" s="44">
        <v>94</v>
      </c>
      <c r="G30" s="19"/>
      <c r="H30" s="88">
        <v>266</v>
      </c>
      <c r="I30" s="44">
        <v>406</v>
      </c>
      <c r="J30" s="19"/>
      <c r="K30" s="102">
        <v>361</v>
      </c>
      <c r="L30" s="44">
        <v>594</v>
      </c>
      <c r="M30" s="19"/>
      <c r="N30" s="102">
        <v>291</v>
      </c>
      <c r="O30" s="44">
        <v>425</v>
      </c>
      <c r="P30" s="19"/>
      <c r="Q30" s="48">
        <v>185</v>
      </c>
      <c r="R30" s="44">
        <v>235</v>
      </c>
      <c r="S30" s="34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</row>
    <row r="31" spans="1:35" ht="15" customHeight="1" thickBot="1" x14ac:dyDescent="0.2">
      <c r="A31" s="1"/>
      <c r="B31" s="36"/>
      <c r="C31" s="26" t="s">
        <v>13</v>
      </c>
      <c r="D31" s="46">
        <v>42</v>
      </c>
      <c r="E31" s="46">
        <v>51</v>
      </c>
      <c r="F31" s="46">
        <v>55</v>
      </c>
      <c r="G31" s="27"/>
      <c r="H31" s="93">
        <v>124</v>
      </c>
      <c r="I31" s="46">
        <v>153</v>
      </c>
      <c r="J31" s="27"/>
      <c r="K31" s="104">
        <v>176</v>
      </c>
      <c r="L31" s="46">
        <v>242</v>
      </c>
      <c r="M31" s="27"/>
      <c r="N31" s="104">
        <v>6</v>
      </c>
      <c r="O31" s="46">
        <v>7</v>
      </c>
      <c r="P31" s="27"/>
      <c r="Q31" s="50">
        <v>84</v>
      </c>
      <c r="R31" s="46">
        <v>84</v>
      </c>
      <c r="S31" s="36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</row>
    <row r="32" spans="1:35" ht="15" customHeight="1" x14ac:dyDescent="0.15">
      <c r="C32" s="17" t="s">
        <v>17</v>
      </c>
      <c r="D32" s="17"/>
      <c r="E32" s="17"/>
      <c r="F32" s="17"/>
      <c r="G32" s="17"/>
      <c r="H32" s="94"/>
      <c r="I32" s="17"/>
      <c r="J32" s="17"/>
      <c r="K32" s="94"/>
      <c r="L32" s="17"/>
      <c r="M32" s="17"/>
      <c r="N32" s="105"/>
      <c r="O32" s="22"/>
      <c r="P32" s="17"/>
      <c r="Q32" s="17"/>
      <c r="R32" s="17"/>
      <c r="S32" s="17"/>
      <c r="T32" s="17"/>
    </row>
    <row r="33" spans="3:19" ht="10.5" customHeight="1" x14ac:dyDescent="0.15">
      <c r="C33" s="17"/>
      <c r="D33" s="17"/>
      <c r="E33" s="17"/>
      <c r="F33" s="17"/>
      <c r="G33" s="17"/>
      <c r="H33" s="94"/>
      <c r="I33" s="17"/>
      <c r="J33" s="17"/>
      <c r="K33" s="94"/>
      <c r="L33" s="17"/>
      <c r="M33" s="17"/>
      <c r="N33" s="105"/>
      <c r="O33" s="22"/>
      <c r="P33" s="17"/>
      <c r="Q33" s="17"/>
      <c r="R33" s="17"/>
      <c r="S33" s="14"/>
    </row>
    <row r="34" spans="3:19" x14ac:dyDescent="0.15">
      <c r="G34" s="14"/>
      <c r="J34" s="14"/>
      <c r="M34" s="14"/>
      <c r="P34" s="14"/>
      <c r="S34" s="14"/>
    </row>
    <row r="35" spans="3:19" x14ac:dyDescent="0.15">
      <c r="G35" s="13"/>
      <c r="J35" s="13"/>
      <c r="M35" s="13"/>
      <c r="P35" s="13"/>
      <c r="S35" s="13"/>
    </row>
    <row r="36" spans="3:19" x14ac:dyDescent="0.15">
      <c r="G36" s="15"/>
      <c r="J36" s="15"/>
      <c r="M36" s="15"/>
      <c r="P36" s="15"/>
      <c r="S36" s="15"/>
    </row>
    <row r="37" spans="3:19" x14ac:dyDescent="0.15">
      <c r="G37" s="16"/>
      <c r="J37" s="16"/>
      <c r="M37" s="16"/>
      <c r="P37" s="16"/>
      <c r="S37" s="16"/>
    </row>
  </sheetData>
  <phoneticPr fontId="1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676B-05CA-49EC-959E-A679BC954499}">
  <sheetPr>
    <tabColor theme="8" tint="0.79998168889431442"/>
  </sheetPr>
  <dimension ref="B1:N75"/>
  <sheetViews>
    <sheetView tabSelected="1" topLeftCell="A12" zoomScale="145" zoomScaleNormal="145" workbookViewId="0">
      <selection activeCell="L44" sqref="L44"/>
    </sheetView>
  </sheetViews>
  <sheetFormatPr defaultRowHeight="13.5" x14ac:dyDescent="0.15"/>
  <cols>
    <col min="2" max="2" width="31.875" customWidth="1"/>
    <col min="3" max="5" width="14.25" customWidth="1"/>
    <col min="6" max="6" width="0.25" style="18" customWidth="1"/>
    <col min="7" max="7" width="14.25" customWidth="1"/>
    <col min="8" max="8" width="0.25" style="18" customWidth="1"/>
    <col min="9" max="9" width="14.75" customWidth="1"/>
    <col min="10" max="10" width="12.75" bestFit="1" customWidth="1"/>
  </cols>
  <sheetData>
    <row r="1" spans="2:14" x14ac:dyDescent="0.15">
      <c r="B1" s="9"/>
      <c r="C1" s="10"/>
      <c r="D1" s="10"/>
      <c r="E1" s="10"/>
      <c r="F1" s="19"/>
      <c r="G1" s="10"/>
      <c r="H1" s="34"/>
    </row>
    <row r="2" spans="2:14" ht="12.75" customHeight="1" x14ac:dyDescent="0.15">
      <c r="B2" s="23" t="s">
        <v>18</v>
      </c>
      <c r="C2" s="24"/>
      <c r="D2" s="24"/>
      <c r="E2" s="23"/>
      <c r="F2" s="24"/>
      <c r="G2" s="24"/>
      <c r="H2" s="34"/>
    </row>
    <row r="3" spans="2:14" ht="15" customHeight="1" x14ac:dyDescent="0.15">
      <c r="B3" s="3"/>
      <c r="C3" s="3"/>
      <c r="D3" s="65"/>
      <c r="E3" s="3"/>
      <c r="F3" s="12"/>
      <c r="G3" s="25" t="s">
        <v>11</v>
      </c>
      <c r="H3" s="12"/>
    </row>
    <row r="4" spans="2:14" ht="15" customHeight="1" x14ac:dyDescent="0.15">
      <c r="B4" s="2"/>
      <c r="C4" s="2">
        <v>2020</v>
      </c>
      <c r="D4" s="2">
        <v>2023</v>
      </c>
      <c r="E4" s="2">
        <v>2024</v>
      </c>
      <c r="F4" s="12"/>
      <c r="G4" s="4">
        <v>2030</v>
      </c>
      <c r="H4" s="12"/>
    </row>
    <row r="5" spans="2:14" ht="15" customHeight="1" x14ac:dyDescent="0.15">
      <c r="B5" s="59" t="s">
        <v>31</v>
      </c>
      <c r="C5" s="6"/>
      <c r="D5" s="7"/>
      <c r="E5" s="7"/>
      <c r="F5" s="8"/>
      <c r="G5" s="7"/>
      <c r="H5" s="33"/>
    </row>
    <row r="6" spans="2:14" ht="14.25" customHeight="1" x14ac:dyDescent="0.15">
      <c r="B6" s="60" t="s">
        <v>0</v>
      </c>
      <c r="C6" s="66">
        <v>60</v>
      </c>
      <c r="D6" s="66">
        <v>83</v>
      </c>
      <c r="E6" s="66">
        <v>97</v>
      </c>
      <c r="F6" s="19">
        <v>0</v>
      </c>
      <c r="G6" s="66">
        <v>226</v>
      </c>
      <c r="H6" s="34"/>
      <c r="J6" s="79"/>
      <c r="K6" s="79"/>
      <c r="L6" s="79"/>
      <c r="M6" s="79"/>
      <c r="N6" s="79"/>
    </row>
    <row r="7" spans="2:14" ht="14.25" customHeight="1" x14ac:dyDescent="0.15">
      <c r="B7" s="60" t="s">
        <v>3</v>
      </c>
      <c r="C7" s="66">
        <v>24</v>
      </c>
      <c r="D7" s="66">
        <v>35</v>
      </c>
      <c r="E7" s="66">
        <v>43</v>
      </c>
      <c r="F7" s="19">
        <v>0</v>
      </c>
      <c r="G7" s="66">
        <v>102</v>
      </c>
      <c r="H7" s="34"/>
      <c r="J7" s="79"/>
      <c r="K7" s="79"/>
      <c r="L7" s="79"/>
      <c r="M7" s="79"/>
      <c r="N7" s="79"/>
    </row>
    <row r="8" spans="2:14" ht="14.25" customHeight="1" x14ac:dyDescent="0.15">
      <c r="B8" s="61" t="s">
        <v>4</v>
      </c>
      <c r="C8" s="67">
        <v>23</v>
      </c>
      <c r="D8" s="67">
        <v>35</v>
      </c>
      <c r="E8" s="67">
        <v>42</v>
      </c>
      <c r="F8" s="19">
        <v>0</v>
      </c>
      <c r="G8" s="67">
        <v>100</v>
      </c>
      <c r="H8" s="34"/>
      <c r="J8" s="79"/>
      <c r="K8" s="79"/>
      <c r="L8" s="79"/>
      <c r="M8" s="79"/>
      <c r="N8" s="79"/>
    </row>
    <row r="9" spans="2:14" ht="14.25" customHeight="1" x14ac:dyDescent="0.15">
      <c r="B9" s="60" t="s">
        <v>5</v>
      </c>
      <c r="C9" s="68">
        <v>0.3</v>
      </c>
      <c r="D9" s="68">
        <v>0.4</v>
      </c>
      <c r="E9" s="68">
        <v>0.4</v>
      </c>
      <c r="F9" s="29">
        <v>0</v>
      </c>
      <c r="G9" s="68">
        <v>0.8</v>
      </c>
      <c r="H9" s="34"/>
      <c r="J9" s="80"/>
      <c r="K9" s="80"/>
      <c r="L9" s="80"/>
      <c r="M9" s="79"/>
      <c r="N9" s="80"/>
    </row>
    <row r="10" spans="2:14" ht="14.25" customHeight="1" x14ac:dyDescent="0.15">
      <c r="B10" s="60" t="s">
        <v>6</v>
      </c>
      <c r="C10" s="66">
        <v>13</v>
      </c>
      <c r="D10" s="66">
        <v>15</v>
      </c>
      <c r="E10" s="66">
        <v>16</v>
      </c>
      <c r="F10" s="19">
        <v>0</v>
      </c>
      <c r="G10" s="66">
        <v>27</v>
      </c>
      <c r="H10" s="34"/>
      <c r="J10" s="79"/>
      <c r="K10" s="79"/>
      <c r="L10" s="79"/>
      <c r="M10" s="79"/>
      <c r="N10" s="79"/>
    </row>
    <row r="11" spans="2:14" ht="14.25" customHeight="1" x14ac:dyDescent="0.15">
      <c r="B11" s="60" t="s">
        <v>7</v>
      </c>
      <c r="C11" s="68">
        <v>0.3</v>
      </c>
      <c r="D11" s="68">
        <v>0.3</v>
      </c>
      <c r="E11" s="68">
        <v>0.4</v>
      </c>
      <c r="F11" s="29">
        <v>0</v>
      </c>
      <c r="G11" s="68">
        <v>0.7</v>
      </c>
      <c r="H11" s="34"/>
      <c r="J11" s="80"/>
      <c r="K11" s="80"/>
      <c r="L11" s="80"/>
      <c r="M11" s="79"/>
      <c r="N11" s="80"/>
    </row>
    <row r="12" spans="2:14" ht="14.25" customHeight="1" x14ac:dyDescent="0.15">
      <c r="B12" s="60" t="s">
        <v>8</v>
      </c>
      <c r="C12" s="68">
        <v>0.3</v>
      </c>
      <c r="D12" s="68">
        <v>0.3</v>
      </c>
      <c r="E12" s="68">
        <v>0.4</v>
      </c>
      <c r="F12" s="29">
        <v>0</v>
      </c>
      <c r="G12" s="68">
        <v>0.7</v>
      </c>
      <c r="H12" s="34"/>
      <c r="J12" s="80"/>
      <c r="K12" s="80"/>
      <c r="L12" s="80"/>
      <c r="M12" s="79"/>
      <c r="N12" s="80"/>
    </row>
    <row r="13" spans="2:14" ht="14.25" customHeight="1" x14ac:dyDescent="0.15">
      <c r="B13" s="60" t="s">
        <v>9</v>
      </c>
      <c r="C13" s="66">
        <v>21</v>
      </c>
      <c r="D13" s="66">
        <v>30</v>
      </c>
      <c r="E13" s="66">
        <v>36</v>
      </c>
      <c r="F13" s="19">
        <v>0</v>
      </c>
      <c r="G13" s="66">
        <v>92</v>
      </c>
      <c r="H13" s="34"/>
      <c r="J13" s="79"/>
      <c r="K13" s="79"/>
      <c r="L13" s="79"/>
      <c r="M13" s="79"/>
      <c r="N13" s="79"/>
    </row>
    <row r="14" spans="2:14" ht="14.25" customHeight="1" x14ac:dyDescent="0.15">
      <c r="B14" s="61" t="s">
        <v>10</v>
      </c>
      <c r="C14" s="67">
        <v>14</v>
      </c>
      <c r="D14" s="67">
        <v>20</v>
      </c>
      <c r="E14" s="67">
        <v>24</v>
      </c>
      <c r="F14" s="19">
        <v>0</v>
      </c>
      <c r="G14" s="67">
        <v>67</v>
      </c>
      <c r="H14" s="34"/>
      <c r="J14" s="79"/>
      <c r="K14" s="79"/>
      <c r="L14" s="79"/>
      <c r="M14" s="79"/>
      <c r="N14" s="79"/>
    </row>
    <row r="15" spans="2:14" ht="15" customHeight="1" x14ac:dyDescent="0.15">
      <c r="B15" s="63" t="s">
        <v>32</v>
      </c>
      <c r="C15" s="69"/>
      <c r="D15" s="69"/>
      <c r="E15" s="69"/>
      <c r="F15" s="64"/>
      <c r="G15" s="69"/>
      <c r="H15" s="33"/>
      <c r="J15" s="79"/>
      <c r="K15" s="79"/>
      <c r="L15" s="79"/>
      <c r="M15" s="79"/>
      <c r="N15" s="79"/>
    </row>
    <row r="16" spans="2:14" ht="14.25" customHeight="1" x14ac:dyDescent="0.15">
      <c r="B16" s="60" t="s">
        <v>0</v>
      </c>
      <c r="C16" s="66">
        <v>38</v>
      </c>
      <c r="D16" s="66">
        <v>57</v>
      </c>
      <c r="E16" s="66">
        <v>68</v>
      </c>
      <c r="F16" s="19">
        <v>0</v>
      </c>
      <c r="G16" s="66">
        <v>174</v>
      </c>
      <c r="H16" s="34"/>
      <c r="J16" s="79"/>
      <c r="K16" s="79"/>
      <c r="L16" s="79"/>
      <c r="M16" s="79"/>
      <c r="N16" s="79"/>
    </row>
    <row r="17" spans="2:14" ht="14.25" customHeight="1" x14ac:dyDescent="0.15">
      <c r="B17" s="60" t="s">
        <v>3</v>
      </c>
      <c r="C17" s="66">
        <v>17</v>
      </c>
      <c r="D17" s="66">
        <v>26</v>
      </c>
      <c r="E17" s="66">
        <v>32</v>
      </c>
      <c r="F17" s="19">
        <v>0</v>
      </c>
      <c r="G17" s="66">
        <v>82</v>
      </c>
      <c r="H17" s="34"/>
      <c r="J17" s="79"/>
      <c r="K17" s="79"/>
      <c r="L17" s="79"/>
      <c r="M17" s="79"/>
      <c r="N17" s="79"/>
    </row>
    <row r="18" spans="2:14" ht="14.25" customHeight="1" x14ac:dyDescent="0.15">
      <c r="B18" s="61" t="s">
        <v>4</v>
      </c>
      <c r="C18" s="67">
        <v>17</v>
      </c>
      <c r="D18" s="67">
        <v>26</v>
      </c>
      <c r="E18" s="67">
        <v>31</v>
      </c>
      <c r="F18" s="19">
        <v>0</v>
      </c>
      <c r="G18" s="67">
        <v>81</v>
      </c>
      <c r="H18" s="34"/>
      <c r="J18" s="79"/>
      <c r="K18" s="79"/>
      <c r="L18" s="79"/>
      <c r="M18" s="79"/>
      <c r="N18" s="79"/>
    </row>
    <row r="19" spans="2:14" ht="14.25" customHeight="1" x14ac:dyDescent="0.15">
      <c r="B19" s="60" t="s">
        <v>5</v>
      </c>
      <c r="C19" s="68">
        <v>0.2</v>
      </c>
      <c r="D19" s="68">
        <v>0.2</v>
      </c>
      <c r="E19" s="68">
        <v>0.2</v>
      </c>
      <c r="F19" s="29">
        <v>0</v>
      </c>
      <c r="G19" s="68">
        <v>0.5</v>
      </c>
      <c r="H19" s="34"/>
      <c r="J19" s="80"/>
      <c r="K19" s="80"/>
      <c r="L19" s="80"/>
      <c r="M19" s="79"/>
      <c r="N19" s="80"/>
    </row>
    <row r="20" spans="2:14" ht="14.25" customHeight="1" x14ac:dyDescent="0.15">
      <c r="B20" s="60" t="s">
        <v>6</v>
      </c>
      <c r="C20" s="66">
        <v>8</v>
      </c>
      <c r="D20" s="66">
        <v>10</v>
      </c>
      <c r="E20" s="66">
        <v>11</v>
      </c>
      <c r="F20" s="19">
        <v>0</v>
      </c>
      <c r="G20" s="66">
        <v>21</v>
      </c>
      <c r="H20" s="34"/>
      <c r="J20" s="79"/>
      <c r="K20" s="79"/>
      <c r="L20" s="79"/>
      <c r="M20" s="79"/>
      <c r="N20" s="79"/>
    </row>
    <row r="21" spans="2:14" ht="14.25" customHeight="1" x14ac:dyDescent="0.15">
      <c r="B21" s="60" t="s">
        <v>7</v>
      </c>
      <c r="C21" s="68">
        <v>0.1</v>
      </c>
      <c r="D21" s="68">
        <v>0.2</v>
      </c>
      <c r="E21" s="68">
        <v>0.2</v>
      </c>
      <c r="F21" s="29">
        <v>0</v>
      </c>
      <c r="G21" s="68">
        <v>0.5</v>
      </c>
      <c r="H21" s="34"/>
      <c r="J21" s="80"/>
      <c r="K21" s="80"/>
      <c r="L21" s="80"/>
      <c r="M21" s="79"/>
      <c r="N21" s="80"/>
    </row>
    <row r="22" spans="2:14" ht="14.25" customHeight="1" x14ac:dyDescent="0.15">
      <c r="B22" s="60" t="s">
        <v>8</v>
      </c>
      <c r="C22" s="68">
        <v>0.1</v>
      </c>
      <c r="D22" s="68">
        <v>0.2</v>
      </c>
      <c r="E22" s="68">
        <v>0.2</v>
      </c>
      <c r="F22" s="29">
        <v>0</v>
      </c>
      <c r="G22" s="68">
        <v>0.4</v>
      </c>
      <c r="H22" s="34"/>
      <c r="J22" s="80"/>
      <c r="K22" s="80"/>
      <c r="L22" s="80"/>
      <c r="M22" s="79"/>
      <c r="N22" s="80"/>
    </row>
    <row r="23" spans="2:14" ht="14.25" customHeight="1" x14ac:dyDescent="0.15">
      <c r="B23" s="60" t="s">
        <v>9</v>
      </c>
      <c r="C23" s="66">
        <v>12</v>
      </c>
      <c r="D23" s="66">
        <v>19</v>
      </c>
      <c r="E23" s="66">
        <v>24</v>
      </c>
      <c r="F23" s="19">
        <v>0</v>
      </c>
      <c r="G23" s="66">
        <v>67</v>
      </c>
      <c r="H23" s="34"/>
      <c r="J23" s="79"/>
      <c r="K23" s="79"/>
      <c r="L23" s="79"/>
      <c r="M23" s="79"/>
      <c r="N23" s="79"/>
    </row>
    <row r="24" spans="2:14" ht="14.25" customHeight="1" thickBot="1" x14ac:dyDescent="0.2">
      <c r="B24" s="62" t="s">
        <v>10</v>
      </c>
      <c r="C24" s="70">
        <v>8</v>
      </c>
      <c r="D24" s="70">
        <v>13</v>
      </c>
      <c r="E24" s="70">
        <v>16</v>
      </c>
      <c r="F24" s="27">
        <v>0</v>
      </c>
      <c r="G24" s="70">
        <v>49</v>
      </c>
      <c r="H24" s="71"/>
      <c r="J24" s="79"/>
      <c r="K24" s="79"/>
      <c r="L24" s="79"/>
      <c r="M24" s="79"/>
      <c r="N24" s="79"/>
    </row>
    <row r="25" spans="2:14" x14ac:dyDescent="0.15">
      <c r="B25" s="9"/>
      <c r="C25" s="10"/>
      <c r="D25" s="10"/>
      <c r="E25" s="75"/>
      <c r="F25" s="76"/>
      <c r="G25" s="75"/>
      <c r="H25" s="34"/>
    </row>
    <row r="26" spans="2:14" x14ac:dyDescent="0.15">
      <c r="B26" s="9"/>
      <c r="C26" s="10"/>
      <c r="D26" s="10"/>
      <c r="E26" s="10"/>
      <c r="F26" s="34"/>
      <c r="G26" s="10"/>
      <c r="H26" s="34"/>
    </row>
    <row r="27" spans="2:14" x14ac:dyDescent="0.15">
      <c r="B27" s="23" t="s">
        <v>21</v>
      </c>
      <c r="C27" s="24"/>
      <c r="D27" s="24"/>
      <c r="E27" s="23"/>
      <c r="F27" s="24"/>
      <c r="G27" s="24"/>
      <c r="H27" s="34"/>
    </row>
    <row r="28" spans="2:14" ht="15" customHeight="1" x14ac:dyDescent="0.15">
      <c r="B28" s="3"/>
      <c r="C28" s="3"/>
      <c r="D28" s="3"/>
      <c r="E28" s="3"/>
      <c r="F28" s="12"/>
      <c r="G28" s="78" t="s">
        <v>11</v>
      </c>
      <c r="H28" s="12"/>
    </row>
    <row r="29" spans="2:14" ht="15" customHeight="1" x14ac:dyDescent="0.15">
      <c r="B29" s="2"/>
      <c r="C29" s="2">
        <v>2020</v>
      </c>
      <c r="D29" s="2">
        <v>2023</v>
      </c>
      <c r="E29" s="2">
        <v>2024</v>
      </c>
      <c r="F29" s="12"/>
      <c r="G29" s="2">
        <v>2030</v>
      </c>
      <c r="H29" s="12"/>
    </row>
    <row r="30" spans="2:14" ht="15" customHeight="1" x14ac:dyDescent="0.15">
      <c r="B30" s="59" t="s">
        <v>2</v>
      </c>
      <c r="C30" s="6"/>
      <c r="D30" s="7"/>
      <c r="E30" s="7"/>
      <c r="F30" s="8"/>
      <c r="G30" s="7"/>
      <c r="H30" s="33"/>
    </row>
    <row r="31" spans="2:14" ht="14.25" customHeight="1" x14ac:dyDescent="0.15">
      <c r="B31" s="60" t="s">
        <v>0</v>
      </c>
      <c r="C31" s="72">
        <v>1.53</v>
      </c>
      <c r="D31" s="72">
        <v>1.43</v>
      </c>
      <c r="E31" s="72">
        <v>1.41</v>
      </c>
      <c r="F31" s="19">
        <v>0</v>
      </c>
      <c r="G31" s="72">
        <v>1.29</v>
      </c>
      <c r="H31" s="34"/>
      <c r="J31" s="107">
        <f>E6/E16</f>
        <v>1.4264705882352942</v>
      </c>
      <c r="K31" s="79"/>
      <c r="L31" s="79"/>
      <c r="M31" s="79"/>
      <c r="N31" s="79"/>
    </row>
    <row r="32" spans="2:14" ht="14.25" customHeight="1" x14ac:dyDescent="0.15">
      <c r="B32" s="60" t="s">
        <v>3</v>
      </c>
      <c r="C32" s="72">
        <v>1.39</v>
      </c>
      <c r="D32" s="72">
        <v>1.32</v>
      </c>
      <c r="E32" s="72">
        <v>1.32</v>
      </c>
      <c r="F32" s="19">
        <v>0</v>
      </c>
      <c r="G32" s="72">
        <v>1.24</v>
      </c>
      <c r="H32" s="34"/>
      <c r="J32" s="107">
        <f t="shared" ref="J32:J39" si="0">E7/E17</f>
        <v>1.34375</v>
      </c>
      <c r="K32" s="79"/>
      <c r="L32" s="79"/>
      <c r="M32" s="79"/>
      <c r="N32" s="79"/>
    </row>
    <row r="33" spans="2:14" ht="14.25" customHeight="1" x14ac:dyDescent="0.15">
      <c r="B33" s="61" t="s">
        <v>4</v>
      </c>
      <c r="C33" s="72">
        <v>1.39</v>
      </c>
      <c r="D33" s="72">
        <v>1.31</v>
      </c>
      <c r="E33" s="72">
        <v>1.32</v>
      </c>
      <c r="F33" s="19">
        <v>0</v>
      </c>
      <c r="G33" s="72">
        <v>1.23</v>
      </c>
      <c r="H33" s="34"/>
      <c r="J33" s="107">
        <f t="shared" si="0"/>
        <v>1.3548387096774193</v>
      </c>
      <c r="K33" s="79"/>
      <c r="L33" s="79"/>
      <c r="M33" s="79"/>
      <c r="N33" s="79"/>
    </row>
    <row r="34" spans="2:14" ht="14.25" customHeight="1" x14ac:dyDescent="0.15">
      <c r="B34" s="60" t="s">
        <v>5</v>
      </c>
      <c r="C34" s="72">
        <v>1.82</v>
      </c>
      <c r="D34" s="72">
        <v>1.73</v>
      </c>
      <c r="E34" s="72">
        <v>1.7</v>
      </c>
      <c r="F34" s="19">
        <v>0</v>
      </c>
      <c r="G34" s="72">
        <v>1.5</v>
      </c>
      <c r="H34" s="34"/>
      <c r="J34" s="107">
        <f t="shared" si="0"/>
        <v>2</v>
      </c>
      <c r="K34" s="79"/>
      <c r="L34" s="79"/>
      <c r="M34" s="79"/>
      <c r="N34" s="79"/>
    </row>
    <row r="35" spans="2:14" ht="14.25" customHeight="1" x14ac:dyDescent="0.15">
      <c r="B35" s="60" t="s">
        <v>6</v>
      </c>
      <c r="C35" s="72">
        <v>1.57</v>
      </c>
      <c r="D35" s="72">
        <v>1.47</v>
      </c>
      <c r="E35" s="72">
        <v>1.45</v>
      </c>
      <c r="F35" s="19">
        <v>0</v>
      </c>
      <c r="G35" s="72">
        <v>1.29</v>
      </c>
      <c r="H35" s="34"/>
      <c r="J35" s="107">
        <f t="shared" si="0"/>
        <v>1.4545454545454546</v>
      </c>
      <c r="K35" s="79"/>
      <c r="L35" s="79"/>
      <c r="M35" s="79"/>
      <c r="N35" s="79"/>
    </row>
    <row r="36" spans="2:14" ht="14.25" customHeight="1" x14ac:dyDescent="0.15">
      <c r="B36" s="60" t="s">
        <v>7</v>
      </c>
      <c r="C36" s="72">
        <v>1.97</v>
      </c>
      <c r="D36" s="72">
        <v>1.85</v>
      </c>
      <c r="E36" s="72">
        <v>1.81</v>
      </c>
      <c r="F36" s="19">
        <v>0</v>
      </c>
      <c r="G36" s="72">
        <v>1.59</v>
      </c>
      <c r="H36" s="34"/>
      <c r="J36" s="107">
        <f t="shared" si="0"/>
        <v>2</v>
      </c>
      <c r="K36" s="79"/>
      <c r="L36" s="79"/>
      <c r="M36" s="79"/>
      <c r="N36" s="79"/>
    </row>
    <row r="37" spans="2:14" ht="14.25" customHeight="1" x14ac:dyDescent="0.15">
      <c r="B37" s="60" t="s">
        <v>8</v>
      </c>
      <c r="C37" s="72">
        <v>2.06</v>
      </c>
      <c r="D37" s="72">
        <v>1.96</v>
      </c>
      <c r="E37" s="72">
        <v>1.92</v>
      </c>
      <c r="F37" s="19">
        <v>0</v>
      </c>
      <c r="G37" s="72">
        <v>1.7</v>
      </c>
      <c r="H37" s="34"/>
      <c r="J37" s="107">
        <f t="shared" si="0"/>
        <v>2</v>
      </c>
      <c r="K37" s="79"/>
      <c r="L37" s="79"/>
      <c r="M37" s="79"/>
      <c r="N37" s="79"/>
    </row>
    <row r="38" spans="2:14" ht="14.25" customHeight="1" x14ac:dyDescent="0.15">
      <c r="B38" s="60" t="s">
        <v>9</v>
      </c>
      <c r="C38" s="72">
        <v>1.68</v>
      </c>
      <c r="D38" s="72">
        <v>1.55</v>
      </c>
      <c r="E38" s="72">
        <v>1.5</v>
      </c>
      <c r="F38" s="19">
        <v>0</v>
      </c>
      <c r="G38" s="72">
        <v>1.35</v>
      </c>
      <c r="H38" s="34"/>
      <c r="J38" s="107">
        <f t="shared" si="0"/>
        <v>1.5</v>
      </c>
      <c r="K38" s="79"/>
      <c r="L38" s="79"/>
      <c r="M38" s="79"/>
      <c r="N38" s="79"/>
    </row>
    <row r="39" spans="2:14" ht="14.25" customHeight="1" x14ac:dyDescent="0.15">
      <c r="B39" s="61" t="s">
        <v>10</v>
      </c>
      <c r="C39" s="72">
        <v>1.67</v>
      </c>
      <c r="D39" s="72">
        <v>1.56</v>
      </c>
      <c r="E39" s="72">
        <v>1.5</v>
      </c>
      <c r="F39" s="19">
        <v>0</v>
      </c>
      <c r="G39" s="72">
        <v>1.35</v>
      </c>
      <c r="H39" s="34"/>
      <c r="J39" s="107">
        <f t="shared" si="0"/>
        <v>1.5</v>
      </c>
      <c r="K39" s="79"/>
      <c r="L39" s="79"/>
      <c r="M39" s="79"/>
      <c r="N39" s="79"/>
    </row>
    <row r="40" spans="2:14" ht="15" customHeight="1" x14ac:dyDescent="0.15">
      <c r="B40" s="63" t="s">
        <v>30</v>
      </c>
      <c r="C40" s="73"/>
      <c r="D40" s="74"/>
      <c r="E40" s="74"/>
      <c r="F40" s="32"/>
      <c r="G40" s="74"/>
      <c r="H40" s="35"/>
      <c r="J40" s="79"/>
      <c r="K40" s="79"/>
      <c r="L40" s="79"/>
      <c r="M40" s="79"/>
      <c r="N40" s="79"/>
    </row>
    <row r="41" spans="2:14" ht="14.25" customHeight="1" x14ac:dyDescent="0.15">
      <c r="B41" s="60" t="s">
        <v>0</v>
      </c>
      <c r="C41" s="66">
        <v>51</v>
      </c>
      <c r="D41" s="66">
        <v>49</v>
      </c>
      <c r="E41" s="66">
        <v>49</v>
      </c>
      <c r="F41" s="19" t="e">
        <v>#REF!</v>
      </c>
      <c r="G41" s="66">
        <v>48</v>
      </c>
      <c r="H41" s="34"/>
      <c r="J41" s="106">
        <f>E6*E41/10</f>
        <v>475.3</v>
      </c>
      <c r="K41" s="79"/>
      <c r="L41" s="79"/>
      <c r="M41" s="79"/>
      <c r="N41" s="79"/>
    </row>
    <row r="42" spans="2:14" ht="14.25" customHeight="1" x14ac:dyDescent="0.15">
      <c r="B42" s="60" t="s">
        <v>3</v>
      </c>
      <c r="C42" s="66">
        <v>53</v>
      </c>
      <c r="D42" s="66">
        <v>51</v>
      </c>
      <c r="E42" s="66">
        <v>50</v>
      </c>
      <c r="F42" s="19" t="e">
        <v>#REF!</v>
      </c>
      <c r="G42" s="66">
        <v>48</v>
      </c>
      <c r="H42" s="34"/>
      <c r="J42" s="106">
        <f t="shared" ref="J42:J49" si="1">E7*E42/10</f>
        <v>215</v>
      </c>
      <c r="K42" s="79"/>
      <c r="L42" s="79"/>
      <c r="M42" s="79"/>
      <c r="N42" s="79"/>
    </row>
    <row r="43" spans="2:14" ht="14.25" customHeight="1" x14ac:dyDescent="0.15">
      <c r="B43" s="61" t="s">
        <v>4</v>
      </c>
      <c r="C43" s="67">
        <v>53</v>
      </c>
      <c r="D43" s="67">
        <v>51</v>
      </c>
      <c r="E43" s="67">
        <v>50</v>
      </c>
      <c r="F43" s="19" t="e">
        <v>#REF!</v>
      </c>
      <c r="G43" s="67">
        <v>49</v>
      </c>
      <c r="H43" s="34"/>
      <c r="J43" s="106">
        <f t="shared" si="1"/>
        <v>210</v>
      </c>
      <c r="K43" s="79"/>
      <c r="L43" s="79"/>
      <c r="M43" s="79"/>
      <c r="N43" s="79"/>
    </row>
    <row r="44" spans="2:14" ht="14.25" customHeight="1" x14ac:dyDescent="0.15">
      <c r="B44" s="60" t="s">
        <v>5</v>
      </c>
      <c r="C44" s="66">
        <v>50</v>
      </c>
      <c r="D44" s="66">
        <v>48</v>
      </c>
      <c r="E44" s="66">
        <v>47</v>
      </c>
      <c r="F44" s="19" t="e">
        <v>#REF!</v>
      </c>
      <c r="G44" s="66">
        <v>46</v>
      </c>
      <c r="H44" s="34"/>
      <c r="J44" s="106">
        <f t="shared" si="1"/>
        <v>1.8800000000000001</v>
      </c>
      <c r="K44" s="79"/>
      <c r="L44" s="79"/>
      <c r="M44" s="79"/>
      <c r="N44" s="79"/>
    </row>
    <row r="45" spans="2:14" ht="14.25" customHeight="1" x14ac:dyDescent="0.15">
      <c r="B45" s="60" t="s">
        <v>6</v>
      </c>
      <c r="C45" s="66">
        <v>51</v>
      </c>
      <c r="D45" s="66">
        <v>49</v>
      </c>
      <c r="E45" s="66">
        <v>48</v>
      </c>
      <c r="F45" s="19" t="e">
        <v>#REF!</v>
      </c>
      <c r="G45" s="66">
        <v>48</v>
      </c>
      <c r="H45" s="34"/>
      <c r="J45" s="106">
        <f t="shared" si="1"/>
        <v>76.8</v>
      </c>
      <c r="K45" s="79"/>
      <c r="L45" s="79"/>
      <c r="M45" s="79"/>
      <c r="N45" s="79"/>
    </row>
    <row r="46" spans="2:14" ht="14.25" customHeight="1" x14ac:dyDescent="0.15">
      <c r="B46" s="60" t="s">
        <v>7</v>
      </c>
      <c r="C46" s="66">
        <v>49</v>
      </c>
      <c r="D46" s="66">
        <v>46</v>
      </c>
      <c r="E46" s="66">
        <v>46</v>
      </c>
      <c r="F46" s="19" t="e">
        <v>#REF!</v>
      </c>
      <c r="G46" s="66">
        <v>45</v>
      </c>
      <c r="H46" s="34"/>
      <c r="J46" s="106">
        <f t="shared" si="1"/>
        <v>1.8400000000000003</v>
      </c>
      <c r="K46" s="79"/>
      <c r="L46" s="79"/>
      <c r="M46" s="79"/>
      <c r="N46" s="79"/>
    </row>
    <row r="47" spans="2:14" ht="14.25" customHeight="1" x14ac:dyDescent="0.15">
      <c r="B47" s="60" t="s">
        <v>8</v>
      </c>
      <c r="C47" s="66">
        <v>49</v>
      </c>
      <c r="D47" s="66">
        <v>46</v>
      </c>
      <c r="E47" s="66">
        <v>46</v>
      </c>
      <c r="F47" s="19" t="e">
        <v>#REF!</v>
      </c>
      <c r="G47" s="66">
        <v>45</v>
      </c>
      <c r="H47" s="34"/>
      <c r="J47" s="106">
        <f t="shared" si="1"/>
        <v>1.8400000000000003</v>
      </c>
      <c r="K47" s="79"/>
      <c r="L47" s="79"/>
      <c r="M47" s="79"/>
      <c r="N47" s="79"/>
    </row>
    <row r="48" spans="2:14" ht="14.25" customHeight="1" x14ac:dyDescent="0.15">
      <c r="B48" s="60" t="s">
        <v>9</v>
      </c>
      <c r="C48" s="66">
        <v>50</v>
      </c>
      <c r="D48" s="66">
        <v>48</v>
      </c>
      <c r="E48" s="66">
        <v>48</v>
      </c>
      <c r="F48" s="19" t="e">
        <v>#REF!</v>
      </c>
      <c r="G48" s="66">
        <v>47</v>
      </c>
      <c r="H48" s="34"/>
      <c r="J48" s="106">
        <f t="shared" si="1"/>
        <v>172.8</v>
      </c>
      <c r="K48" s="79"/>
      <c r="L48" s="79"/>
      <c r="M48" s="79"/>
      <c r="N48" s="79"/>
    </row>
    <row r="49" spans="2:14" ht="14.25" customHeight="1" thickBot="1" x14ac:dyDescent="0.2">
      <c r="B49" s="62" t="s">
        <v>10</v>
      </c>
      <c r="C49" s="70">
        <v>50</v>
      </c>
      <c r="D49" s="70">
        <v>48</v>
      </c>
      <c r="E49" s="70">
        <v>48</v>
      </c>
      <c r="F49" s="27" t="e">
        <v>#REF!</v>
      </c>
      <c r="G49" s="70">
        <v>47</v>
      </c>
      <c r="H49" s="71"/>
      <c r="J49" s="106">
        <f t="shared" si="1"/>
        <v>115.2</v>
      </c>
      <c r="K49" s="79"/>
      <c r="L49" s="79"/>
      <c r="M49" s="79"/>
      <c r="N49" s="79"/>
    </row>
    <row r="50" spans="2:14" x14ac:dyDescent="0.15">
      <c r="B50" s="9"/>
      <c r="C50" s="5"/>
      <c r="D50" s="5"/>
      <c r="E50" s="77"/>
      <c r="F50" s="76"/>
      <c r="G50" s="77"/>
      <c r="H50" s="34"/>
    </row>
    <row r="51" spans="2:14" x14ac:dyDescent="0.15">
      <c r="B51" s="9"/>
      <c r="C51" s="5"/>
      <c r="D51" s="5"/>
      <c r="E51" s="5"/>
      <c r="F51" s="34"/>
      <c r="G51" s="5"/>
      <c r="H51" s="34"/>
    </row>
    <row r="52" spans="2:14" x14ac:dyDescent="0.15">
      <c r="B52" s="9"/>
      <c r="C52" s="5"/>
      <c r="D52" s="5"/>
      <c r="E52" s="5"/>
      <c r="F52" s="34"/>
      <c r="G52" s="5"/>
      <c r="H52" s="34"/>
    </row>
    <row r="53" spans="2:14" x14ac:dyDescent="0.15">
      <c r="B53" s="23" t="s">
        <v>20</v>
      </c>
      <c r="C53" s="24"/>
      <c r="D53" s="24"/>
      <c r="E53" s="23"/>
      <c r="F53" s="24"/>
      <c r="G53" s="24"/>
      <c r="H53" s="34"/>
    </row>
    <row r="54" spans="2:14" ht="15" customHeight="1" x14ac:dyDescent="0.15">
      <c r="B54" s="3"/>
      <c r="C54" s="3"/>
      <c r="D54" s="3"/>
      <c r="E54" s="3"/>
      <c r="F54" s="12"/>
      <c r="G54" s="78" t="s">
        <v>11</v>
      </c>
      <c r="H54" s="12"/>
    </row>
    <row r="55" spans="2:14" ht="15" customHeight="1" x14ac:dyDescent="0.15">
      <c r="B55" s="2"/>
      <c r="C55" s="2">
        <v>2020</v>
      </c>
      <c r="D55" s="2">
        <v>2023</v>
      </c>
      <c r="E55" s="2">
        <v>2024</v>
      </c>
      <c r="F55" s="12"/>
      <c r="G55" s="2">
        <v>2030</v>
      </c>
      <c r="H55" s="12"/>
    </row>
    <row r="56" spans="2:14" ht="15" customHeight="1" x14ac:dyDescent="0.15">
      <c r="B56" s="59" t="s">
        <v>28</v>
      </c>
      <c r="C56" s="6"/>
      <c r="D56" s="7"/>
      <c r="E56" s="7"/>
      <c r="F56" s="8"/>
      <c r="G56" s="7"/>
      <c r="H56" s="33"/>
    </row>
    <row r="57" spans="2:14" ht="14.25" customHeight="1" x14ac:dyDescent="0.15">
      <c r="B57" s="60" t="s">
        <v>0</v>
      </c>
      <c r="C57" s="66">
        <v>269</v>
      </c>
      <c r="D57" s="66">
        <v>361</v>
      </c>
      <c r="E57" s="66">
        <v>416</v>
      </c>
      <c r="F57" s="19" t="e">
        <v>#REF!</v>
      </c>
      <c r="G57" s="66">
        <v>946</v>
      </c>
      <c r="H57" s="34"/>
      <c r="J57" s="79"/>
      <c r="K57" s="79"/>
      <c r="L57" s="79"/>
      <c r="M57" s="79"/>
      <c r="N57" s="79"/>
    </row>
    <row r="58" spans="2:14" ht="14.25" customHeight="1" x14ac:dyDescent="0.15">
      <c r="B58" s="60" t="s">
        <v>3</v>
      </c>
      <c r="C58" s="66">
        <v>112</v>
      </c>
      <c r="D58" s="66">
        <v>158</v>
      </c>
      <c r="E58" s="66">
        <v>187</v>
      </c>
      <c r="F58" s="19" t="e">
        <v>#REF!</v>
      </c>
      <c r="G58" s="66">
        <v>434</v>
      </c>
      <c r="H58" s="34"/>
      <c r="J58" s="79"/>
      <c r="K58" s="79"/>
      <c r="L58" s="79"/>
      <c r="M58" s="79"/>
      <c r="N58" s="79"/>
    </row>
    <row r="59" spans="2:14" ht="14.25" customHeight="1" x14ac:dyDescent="0.15">
      <c r="B59" s="61" t="s">
        <v>4</v>
      </c>
      <c r="C59" s="67">
        <v>108</v>
      </c>
      <c r="D59" s="67">
        <v>154</v>
      </c>
      <c r="E59" s="67">
        <v>183</v>
      </c>
      <c r="F59" s="19" t="e">
        <v>#REF!</v>
      </c>
      <c r="G59" s="67">
        <v>426</v>
      </c>
      <c r="H59" s="34"/>
      <c r="J59" s="79"/>
      <c r="K59" s="79"/>
      <c r="L59" s="79"/>
      <c r="M59" s="79"/>
      <c r="N59" s="79"/>
    </row>
    <row r="60" spans="2:14" ht="14.25" customHeight="1" x14ac:dyDescent="0.15">
      <c r="B60" s="60" t="s">
        <v>5</v>
      </c>
      <c r="C60" s="68">
        <v>1.5</v>
      </c>
      <c r="D60" s="68">
        <v>1.5</v>
      </c>
      <c r="E60" s="68">
        <v>1.7</v>
      </c>
      <c r="F60" s="29" t="e">
        <v>#REF!</v>
      </c>
      <c r="G60" s="68">
        <v>3.3</v>
      </c>
      <c r="H60" s="34"/>
      <c r="I60" s="82"/>
      <c r="J60" s="80"/>
      <c r="K60" s="80"/>
      <c r="L60" s="80"/>
      <c r="M60" s="79"/>
      <c r="N60" s="80"/>
    </row>
    <row r="61" spans="2:14" ht="14.25" customHeight="1" x14ac:dyDescent="0.15">
      <c r="B61" s="60" t="s">
        <v>6</v>
      </c>
      <c r="C61" s="66">
        <v>57</v>
      </c>
      <c r="D61" s="66">
        <v>66</v>
      </c>
      <c r="E61" s="66">
        <v>68</v>
      </c>
      <c r="F61" s="19" t="e">
        <v>#REF!</v>
      </c>
      <c r="G61" s="66">
        <v>113</v>
      </c>
      <c r="H61" s="34"/>
      <c r="I61" s="82"/>
      <c r="J61" s="79"/>
      <c r="K61" s="79"/>
      <c r="L61" s="79"/>
      <c r="M61" s="79"/>
      <c r="N61" s="79"/>
    </row>
    <row r="62" spans="2:14" ht="14.25" customHeight="1" x14ac:dyDescent="0.15">
      <c r="B62" s="60" t="s">
        <v>7</v>
      </c>
      <c r="C62" s="68">
        <v>1.1000000000000001</v>
      </c>
      <c r="D62" s="68">
        <v>1.3</v>
      </c>
      <c r="E62" s="68">
        <v>1.4</v>
      </c>
      <c r="F62" s="29" t="e">
        <v>#REF!</v>
      </c>
      <c r="G62" s="68">
        <v>2.9</v>
      </c>
      <c r="H62" s="34"/>
      <c r="I62" s="82"/>
      <c r="J62" s="80"/>
      <c r="K62" s="80"/>
      <c r="L62" s="80"/>
      <c r="M62" s="79"/>
      <c r="N62" s="80"/>
    </row>
    <row r="63" spans="2:14" ht="14.25" customHeight="1" x14ac:dyDescent="0.15">
      <c r="B63" s="60" t="s">
        <v>8</v>
      </c>
      <c r="C63" s="68">
        <v>1.1000000000000001</v>
      </c>
      <c r="D63" s="68">
        <v>1.3</v>
      </c>
      <c r="E63" s="68">
        <v>1.5</v>
      </c>
      <c r="F63" s="29" t="e">
        <v>#REF!</v>
      </c>
      <c r="G63" s="68">
        <v>3</v>
      </c>
      <c r="H63" s="34"/>
      <c r="I63" s="82"/>
      <c r="J63" s="80"/>
      <c r="K63" s="80"/>
      <c r="L63" s="80"/>
      <c r="M63" s="79"/>
      <c r="N63" s="80"/>
    </row>
    <row r="64" spans="2:14" ht="14.25" customHeight="1" x14ac:dyDescent="0.15">
      <c r="B64" s="60" t="s">
        <v>9</v>
      </c>
      <c r="C64" s="66">
        <v>93</v>
      </c>
      <c r="D64" s="66">
        <v>128</v>
      </c>
      <c r="E64" s="66">
        <v>150</v>
      </c>
      <c r="F64" s="19" t="e">
        <v>#REF!</v>
      </c>
      <c r="G64" s="66">
        <v>378</v>
      </c>
      <c r="H64" s="34"/>
      <c r="I64" s="82"/>
      <c r="J64" s="79"/>
      <c r="K64" s="79"/>
      <c r="L64" s="79"/>
      <c r="M64" s="79"/>
      <c r="N64" s="79"/>
    </row>
    <row r="65" spans="2:14" ht="14.25" customHeight="1" x14ac:dyDescent="0.15">
      <c r="B65" s="61" t="s">
        <v>10</v>
      </c>
      <c r="C65" s="67">
        <v>62</v>
      </c>
      <c r="D65" s="67">
        <v>84</v>
      </c>
      <c r="E65" s="67">
        <v>102</v>
      </c>
      <c r="F65" s="19" t="e">
        <v>#REF!</v>
      </c>
      <c r="G65" s="67">
        <v>277</v>
      </c>
      <c r="H65" s="34"/>
      <c r="I65" s="82"/>
      <c r="J65" s="79"/>
      <c r="K65" s="79"/>
      <c r="L65" s="79"/>
      <c r="M65" s="79"/>
      <c r="N65" s="79"/>
    </row>
    <row r="66" spans="2:14" ht="15" customHeight="1" x14ac:dyDescent="0.15">
      <c r="B66" s="63" t="s">
        <v>29</v>
      </c>
      <c r="C66" s="73"/>
      <c r="D66" s="74"/>
      <c r="E66" s="74"/>
      <c r="F66" s="32"/>
      <c r="G66" s="74"/>
      <c r="H66" s="35"/>
      <c r="J66" s="79"/>
      <c r="K66" s="79"/>
      <c r="L66" s="79"/>
      <c r="M66" s="79"/>
      <c r="N66" s="79"/>
    </row>
    <row r="67" spans="2:14" ht="14.25" customHeight="1" x14ac:dyDescent="0.15">
      <c r="B67" s="60" t="s">
        <v>0</v>
      </c>
      <c r="C67" s="66">
        <v>176</v>
      </c>
      <c r="D67" s="66">
        <v>252</v>
      </c>
      <c r="E67" s="66">
        <v>295</v>
      </c>
      <c r="F67" s="19">
        <v>0</v>
      </c>
      <c r="G67" s="66">
        <v>733</v>
      </c>
      <c r="H67" s="34"/>
      <c r="J67" s="79"/>
      <c r="K67" s="79"/>
      <c r="L67" s="79"/>
      <c r="M67" s="79"/>
      <c r="N67" s="79"/>
    </row>
    <row r="68" spans="2:14" ht="14.25" customHeight="1" x14ac:dyDescent="0.15">
      <c r="B68" s="60" t="s">
        <v>3</v>
      </c>
      <c r="C68" s="66">
        <v>80</v>
      </c>
      <c r="D68" s="66">
        <v>120</v>
      </c>
      <c r="E68" s="66">
        <v>142</v>
      </c>
      <c r="F68" s="19">
        <v>0</v>
      </c>
      <c r="G68" s="66">
        <v>351</v>
      </c>
      <c r="H68" s="34"/>
      <c r="J68" s="79"/>
      <c r="K68" s="79"/>
      <c r="L68" s="79"/>
      <c r="M68" s="79"/>
      <c r="N68" s="79"/>
    </row>
    <row r="69" spans="2:14" ht="14.25" customHeight="1" x14ac:dyDescent="0.15">
      <c r="B69" s="61" t="s">
        <v>4</v>
      </c>
      <c r="C69" s="67">
        <v>78</v>
      </c>
      <c r="D69" s="67">
        <v>117</v>
      </c>
      <c r="E69" s="67">
        <v>139</v>
      </c>
      <c r="F69" s="19">
        <v>0</v>
      </c>
      <c r="G69" s="67">
        <v>345</v>
      </c>
      <c r="H69" s="34"/>
      <c r="J69" s="79"/>
      <c r="K69" s="79"/>
      <c r="L69" s="79"/>
      <c r="M69" s="79"/>
      <c r="N69" s="79"/>
    </row>
    <row r="70" spans="2:14" ht="14.25" customHeight="1" x14ac:dyDescent="0.15">
      <c r="B70" s="60" t="s">
        <v>5</v>
      </c>
      <c r="C70" s="68">
        <v>0.8</v>
      </c>
      <c r="D70" s="68">
        <v>0.8</v>
      </c>
      <c r="E70" s="68">
        <v>1</v>
      </c>
      <c r="F70" s="29">
        <v>0</v>
      </c>
      <c r="G70" s="68">
        <v>2.2000000000000002</v>
      </c>
      <c r="H70" s="34"/>
      <c r="J70" s="80"/>
      <c r="K70" s="80"/>
      <c r="L70" s="80"/>
      <c r="M70" s="79"/>
      <c r="N70" s="80"/>
    </row>
    <row r="71" spans="2:14" ht="14.25" customHeight="1" x14ac:dyDescent="0.15">
      <c r="B71" s="60" t="s">
        <v>6</v>
      </c>
      <c r="C71" s="66">
        <v>36</v>
      </c>
      <c r="D71" s="66">
        <v>45</v>
      </c>
      <c r="E71" s="66">
        <v>47</v>
      </c>
      <c r="F71" s="19">
        <v>0</v>
      </c>
      <c r="G71" s="66">
        <v>88</v>
      </c>
      <c r="H71" s="34"/>
      <c r="J71" s="79"/>
      <c r="K71" s="79"/>
      <c r="L71" s="79"/>
      <c r="M71" s="79"/>
      <c r="N71" s="79"/>
    </row>
    <row r="72" spans="2:14" ht="14.25" customHeight="1" x14ac:dyDescent="0.15">
      <c r="B72" s="60" t="s">
        <v>7</v>
      </c>
      <c r="C72" s="68">
        <v>0.6</v>
      </c>
      <c r="D72" s="68">
        <v>0.7</v>
      </c>
      <c r="E72" s="68">
        <v>0.8</v>
      </c>
      <c r="F72" s="29">
        <v>0</v>
      </c>
      <c r="G72" s="68">
        <v>1.8</v>
      </c>
      <c r="H72" s="34"/>
      <c r="J72" s="80"/>
      <c r="K72" s="80"/>
      <c r="L72" s="80"/>
      <c r="M72" s="79"/>
      <c r="N72" s="80"/>
    </row>
    <row r="73" spans="2:14" ht="14.25" customHeight="1" x14ac:dyDescent="0.15">
      <c r="B73" s="60" t="s">
        <v>8</v>
      </c>
      <c r="C73" s="68">
        <v>0.5</v>
      </c>
      <c r="D73" s="68">
        <v>0.7</v>
      </c>
      <c r="E73" s="68">
        <v>0.8</v>
      </c>
      <c r="F73" s="29">
        <v>0</v>
      </c>
      <c r="G73" s="68">
        <v>1.7</v>
      </c>
      <c r="H73" s="34"/>
      <c r="J73" s="80"/>
      <c r="K73" s="80"/>
      <c r="L73" s="80"/>
      <c r="M73" s="79"/>
      <c r="N73" s="80"/>
    </row>
    <row r="74" spans="2:14" ht="14.25" customHeight="1" x14ac:dyDescent="0.15">
      <c r="B74" s="60" t="s">
        <v>9</v>
      </c>
      <c r="C74" s="66">
        <v>55</v>
      </c>
      <c r="D74" s="66">
        <v>82</v>
      </c>
      <c r="E74" s="66">
        <v>100</v>
      </c>
      <c r="F74" s="19">
        <v>0</v>
      </c>
      <c r="G74" s="66">
        <v>281</v>
      </c>
      <c r="H74" s="34"/>
      <c r="J74" s="79"/>
      <c r="K74" s="79"/>
      <c r="L74" s="79"/>
      <c r="M74" s="79"/>
      <c r="N74" s="79"/>
    </row>
    <row r="75" spans="2:14" ht="14.25" customHeight="1" thickBot="1" x14ac:dyDescent="0.2">
      <c r="B75" s="62" t="s">
        <v>10</v>
      </c>
      <c r="C75" s="70">
        <v>37</v>
      </c>
      <c r="D75" s="70">
        <v>54</v>
      </c>
      <c r="E75" s="70">
        <v>68</v>
      </c>
      <c r="F75" s="27">
        <v>0</v>
      </c>
      <c r="G75" s="70">
        <v>205</v>
      </c>
      <c r="H75" s="71"/>
      <c r="J75" s="79"/>
      <c r="K75" s="79"/>
      <c r="L75" s="79"/>
      <c r="M75" s="79"/>
      <c r="N75" s="79"/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World Data</vt:lpstr>
      <vt:lpstr>Regional Data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D'AMBROSIO Davide, IEA/STO/EMO-EDO/PSU</dc:creator>
  <cp:lastModifiedBy>HH1744</cp:lastModifiedBy>
  <dcterms:created xsi:type="dcterms:W3CDTF">2025-03-12T15:29:15Z</dcterms:created>
  <dcterms:modified xsi:type="dcterms:W3CDTF">2026-08-11T03:13:21Z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{6C75BC26-4256-4973-9ADB-D25C5EFA7281}</vt:lpwstr>
  </property>
</Properties>
</file>